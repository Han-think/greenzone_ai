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afe6a6c24745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구사항정의서" sheetId="1" r:id="R51d76f67b8a844de"/>
    <x:sheet xmlns:r="http://schemas.openxmlformats.org/officeDocument/2006/relationships" name="데이터명세" sheetId="2" r:id="R23aa6a2969ce4773"/>
    <x:sheet xmlns:r="http://schemas.openxmlformats.org/officeDocument/2006/relationships" name="작업진행표" sheetId="3" r:id="Re45be6d1610c411f"/>
    <x:sheet xmlns:r="http://schemas.openxmlformats.org/officeDocument/2006/relationships" name="요구사항과5일계획" sheetId="4" r:id="R9e27413f2e7346c4"/>
    <x:sheet xmlns:r="http://schemas.openxmlformats.org/officeDocument/2006/relationships" name="통합현황과순서" sheetId="5" r:id="Rfe2bc65446d74140"/>
  </x:sheets>
</x:workbook>
</file>

<file path=xl/sharedStrings.xml><?xml version="1.0" encoding="utf-8"?>
<x:sst xmlns:x="http://schemas.openxmlformats.org/spreadsheetml/2006/main">
  <x:si>
    <x:t xml:space="preserve">그린존 (GREEN ZONE) 요구사항 정의서</x:t>
  </x:si>
  <x:si>
    <x:t xml:space="preserve">요구사항 ID</x:t>
  </x:si>
  <x:si>
    <x:t xml:space="preserve">요구사항 구분</x:t>
  </x:si>
  <x:si>
    <x:t xml:space="preserve">요구사항 명</x:t>
  </x:si>
  <x:si>
    <x:t xml:space="preserve">요구사항 상세 설명 (요구사항 정의)</x:t>
  </x:si>
  <x:si>
    <x:t xml:space="preserve">중요도</x:t>
  </x:si>
  <x:si>
    <x:t xml:space="preserve">비고 (담당)</x:t>
  </x:si>
  <x:si>
    <x:t xml:space="preserve">순서</x:t>
  </x:si>
  <x:si>
    <x:t xml:space="preserve">REQ-DA-001</x:t>
  </x:si>
  <x:si>
    <x:t xml:space="preserve">데이터 분석</x:t>
  </x:si>
  <x:si>
    <x:t xml:space="preserve">건물·필지 수요 분석 및 분산 배정</x:t>
  </x:si>
  <x:si>
    <x:t xml:space="preserve">• 건축물대장 및 SGIS 통계 기반 건물별 주거/상가 용도 및 배출 수요 산출
• 밀집 수요를 단일 중앙점이 아닌 복수의 안전 거점으로 분산 배정 알고리즘 적용</x:t>
  </x:si>
  <x:si>
    <x:t xml:space="preserve">상</x:t>
  </x:si>
  <x:si>
    <x:t xml:space="preserve">확인</x:t>
  </x:si>
  <x:si>
    <x:t xml:space="preserve">REQ-DA-002</x:t>
  </x:si>
  <x:si>
    <x:t xml:space="preserve">거점 안전성 및 접근성 제약 검토</x:t>
  </x:si>
  <x:si>
    <x:t xml:space="preserve">• 도로 유효폭, 차량 진입·정차·출차 가능 여부, 보행 연속성, 어린이/노인 보호구역 등 제약 요인 종합 검토
• 조건 미충족 시 사유(미배정/제외) 명시</x:t>
  </x:si>
  <x:si>
    <x:t xml:space="preserve">REQ-F-001</x:t>
  </x:si>
  <x:si>
    <x:t xml:space="preserve">기능(웹/앱)</x:t>
  </x:si>
  <x:si>
    <x:t xml:space="preserve">위치 기반 주소 및 건물 검색</x:t>
  </x:si>
  <x:si>
    <x:t xml:space="preserve">• 위치 권한 동의 없이 도로명주소 및 건물명 검색 기능 제공
• 자동완성 및 유사 주소 검색 목록 제공 후 선택 기능 지원</x:t>
  </x:si>
  <x:si>
    <x:t xml:space="preserve">화면/서버</x:t>
  </x:si>
  <x:si>
    <x:t xml:space="preserve">REQ-F-002</x:t>
  </x:si>
  <x:si>
    <x:t xml:space="preserve">담당 권역 및 거점 배정 안내</x:t>
  </x:si>
  <x:si>
    <x:t xml:space="preserve">• 검색한 주소가 속한 제안 수거 권역(예: 신월1동 3권역) 및 최적 담당 조사점(거점)을 자동 매핑
• 선택 위치와 담당 거점 간의 거리(직선/도로 접근 거리) 및 순서 정보 표시</x:t>
  </x:si>
  <x:si>
    <x:t xml:space="preserve">서버/화면</x:t>
  </x:si>
  <x:si>
    <x:t xml:space="preserve">REQ-F-003</x:t>
  </x:si>
  <x:si>
    <x:t xml:space="preserve">대형폐기물 이미지 업로드 및 매핑</x:t>
  </x:si>
  <x:si>
    <x:t xml:space="preserve">• 시민이 배출할 대형폐기물(가구 등) 사진을 업로드하는 인터페이스 제공
• AI 분석 결과를 확인하고, 사용자가 직접 품목/규격/수량을 수정·보완하는 기능
• 확인된 품목을 지자체 공식 상세 수수료 및 예약 시스템으로 연결</x:t>
  </x:si>
  <x:si>
    <x:t xml:space="preserve">중</x:t>
  </x:si>
  <x:si>
    <x:t xml:space="preserve">업로드 부분
저장 부분-내부 데이터에 저장하는것으로 임시구현(데이터분류 작업으로 구조화된 json출력으로 저장해 분류이미지 확인)</x:t>
  </x:si>
  <x:si>
    <x:t xml:space="preserve">REQ-AI-001</x:t>
  </x:si>
  <x:si>
    <x:t xml:space="preserve">기능(AI)</x:t>
  </x:si>
  <x:si>
    <x:t xml:space="preserve">작업면 차량 점유 감지</x:t>
  </x:si>
  <x:si>
    <x:t xml:space="preserve">• 지정된 수거 작업면(ROI) 내 불법 주정차 및 장애 차량 실시간 탐지/추적
• 동일 차량의 점유 지속 시간을 계산하고, 일정 시간 초과 시 작업 공간 확보 알림 생성
• 단순 통과 차량과 정차 점유 차량을 구분하여 오알림 방지</x:t>
  </x:si>
  <x:si>
    <x:t xml:space="preserve">논외</x:t>
  </x:si>
  <x:si>
    <x:t xml:space="preserve">AI/Vision</x:t>
  </x:si>
  <x:si>
    <x:t xml:space="preserve">REQ-AI-002</x:t>
  </x:si>
  <x:si>
    <x:t xml:space="preserve">적치·넘침 및 상태 감지</x:t>
  </x:si>
  <x:si>
    <x:t xml:space="preserve">• 배출 영역 내 폐기물 발생 및 적치 영역(Segmentation/Bounding Box) 감지
• 수거 전/후 적치 변화 추이 및 배출면을 벗어나는 넘침(Overflow) 징후 단계별 표시
• 영상상 점유율(%) 및 관측 시각, 신뢰도 정보 함께 전달</x:t>
  </x:si>
  <x:si>
    <x:t xml:space="preserve">하</x:t>
  </x:si>
  <x:si>
    <x:t xml:space="preserve">REQ-AI-003</x:t>
  </x:si>
  <x:si>
    <x:t xml:space="preserve">대형폐기물 품목 인식</x:t>
  </x:si>
  <x:si>
    <x:t xml:space="preserve">• 업로드된 대형폐기물 사진 분석을 통한 품목(소파, 침대, 장롱 등) 및 개수 추정
• 인식 결과에 대한 불확실성/신뢰도 점수를 산출하고, 상위 후보 목록을 사용자에게 제시</x:t>
  </x:si>
  <x:si>
    <x:t xml:space="preserve">오늘의 주요업무</x:t>
  </x:si>
  <x:si>
    <x:t xml:space="preserve">REQ-AI-004</x:t>
  </x:si>
  <x:si>
    <x:t xml:space="preserve">근거 기반 AI 배출 안내 (RAG)</x:t>
  </x:si>
  <x:si>
    <x:t xml:space="preserve">• 지역별 배출 규칙, 요일, 시간, 품목별 수수료 DB 연동 조회 및 RAG 기반 Q&amp;A 제공
• 근거 문서나 데이터가 없을 경우 할루시네이션(임의 답변)을 방지하고 "추가 확인 필요" 보류 응답 처리</x:t>
  </x:si>
  <x:si>
    <x:t xml:space="preserve">AI/Server</x:t>
  </x:si>
  <x:si>
    <x:t xml:space="preserve">REQ-UI-001</x:t>
  </x:si>
  <x:si>
    <x:t xml:space="preserve">인터페이스</x:t>
  </x:si>
  <x:si>
    <x:t xml:space="preserve">맞춤형 공간 지도 뷰어 (GIS)</x:t>
  </x:si>
  <x:si>
    <x:t xml:space="preserve">• 일반 지도 및 위성/항공 영상 지도 배경 전환 기능 제공
• 검색 위치(집), 담당 거점, 제안 권역 폴리곤, 수거차 방문 순서 레이어 시각화</x:t>
  </x:si>
  <x:si>
    <x:t xml:space="preserve">화면/GIS</x:t>
  </x:si>
  <x:si>
    <x:t xml:space="preserve">REQ-UI-002</x:t>
  </x:si>
  <x:si>
    <x:t xml:space="preserve">관제 및 작업자용 이벤트 Dashboard</x:t>
  </x:si>
  <x:si>
    <x:t xml:space="preserve">• 비전 AI에서 발생한 이벤트(차량 점유, 넘침, 대형물 적치)를 실시간 지도 및 목록 형태로 표시
• 담당자/작업자의 현장 확인 완료 처리 및 상태 해제 기능 인터페이스</x:t>
  </x:si>
  <x:si>
    <x:t xml:space="preserve">REQ-N-001</x:t>
  </x:si>
  <x:si>
    <x:t xml:space="preserve">비기능</x:t>
  </x:si>
  <x:si>
    <x:t xml:space="preserve">개인정보 및 비식별화 처리</x:t>
  </x:si>
  <x:si>
    <x:t xml:space="preserve">• 시민 위치 정보 및 검색 기록 저장 최소화 (검색 종료 후 검색어/위치 기록 비저장)
• 비전 AI 영상 분석 시 차량 번호판, 사람 얼굴 등 식별 정보 모자이크/비식별화 처리</x:t>
  </x:si>
  <x:si>
    <x:t xml:space="preserve">서버/보안</x:t>
  </x:si>
  <x:si>
    <x:t xml:space="preserve">REQ-N-002</x:t>
  </x:si>
  <x:si>
    <x:t xml:space="preserve">법적 승인 및 제안 구분 안내</x:t>
  </x:si>
  <x:si>
    <x:t xml:space="preserve">• 화면상에 제공되는 거점 위치 및 수거 노선은 "운영 승인 전 분석 제안"임을 명시하는 안내 문구 상시 노출
• 단속 권한 및 행정 승인은 실무 협의 후 수행되는 Out of Scope 과제임을 명확히 안내</x:t>
  </x:si>
  <x:si>
    <x:t xml:space="preserve">기획/PM</x:t>
  </x:si>
  <x:si>
    <x:t xml:space="preserve">요구사항 정의서(신)</x:t>
  </x:si>
  <x:si>
    <x:t xml:space="preserve">No</x:t>
  </x:si>
  <x:si>
    <x:t xml:space="preserve">요구사항명</x:t>
  </x:si>
  <x:si>
    <x:t xml:space="preserve">구현기능 (구현 상세)</x:t>
  </x:si>
  <x:si>
    <x:t xml:space="preserve">건축물대장/SGIS 통계 데이터 수집 및 전처리 기능</x:t>
  </x:si>
  <x:si>
    <x:t xml:space="preserve">ERD 누가 짤지</x:t>
  </x:si>
  <x:si>
    <x:t xml:space="preserve">특정 구를 지정하여</x:t>
  </x:si>
  <x:si>
    <x:t xml:space="preserve"> 신월1동,자료완료</x:t>
  </x:si>
  <x:si>
    <x:t xml:space="preserve">분석에서 저장할 데이터 (데이터 타입)</x:t>
  </x:si>
  <x:si>
    <x:t xml:space="preserve">분산 배정 시뮬레이션 결과 데이터(CSV/JSON) 도출 기능</x:t>
  </x:si>
  <x:si>
    <x:t xml:space="preserve">어린이/노인 보호구역 및 보행 연속성 제약 조건 필터링 기능</x:t>
  </x:si>
  <x:si>
    <x:t xml:space="preserve">데이터명세 작성 완료</x:t>
  </x:si>
  <x:si>
    <x:t xml:space="preserve">거점 제외/미배정 사유 기록 및 데이터화 기능</x:t>
  </x:si>
  <x:si>
    <x:t xml:space="preserve">도로명주소 및 건물명 입력/키워드 검색 기능</x:t>
  </x:si>
  <x:si>
    <x:t xml:space="preserve">깃허브 업로드 확인!</x:t>
  </x:si>
  <x:si>
    <x:t xml:space="preserve">선택 주소의 담당 제안 수거 권역(예: 신월1동 3권역) 자동 조회 기능</x:t>
  </x:si>
  <x:si>
    <x:t xml:space="preserve">담당 거점 및 수거차 방문 순서 정보 매핑/출력 기능</x:t>
  </x:si>
  <x:si>
    <x:t xml:space="preserve">대형폐기물(가구 등) 사진 파일 업로드 기능</x:t>
  </x:si>
  <x:si>
    <x:t xml:space="preserve">대형폐기물 품목 인식 (AI)</x:t>
  </x:si>
  <x:si>
    <x:t xml:space="preserve">
근거 기반 AI 배출 안내 (RAG)</x:t>
  </x:si>
  <x:si>
    <x:t xml:space="preserve">분석반 강사님 왈: aPI 로 멀티모달 호출하는 건, 너무 흔한 거다. 만약 이 기능을 구현할 거라면, 어려운 법/규정에 모델이 잘 답변할 수 있도록 rag 성능을 높이는 것만이 차별점이 될 것 이라고 하십니당</x:t>
  </x:si>
  <x:si>
    <x:t xml:space="preserve">검색 위치(집) 파란색 마커 및 담당 거점(주황색 번호) 마커 표시 기능</x:t>
  </x:si>
  <x:si>
    <x:t xml:space="preserve">제안 권역 폴리곤(Polygon) 및 수거차 방문 경로 레이어 시각화 기능</x:t>
  </x:si>
  <x:si>
    <x:t xml:space="preserve">화면 상단/하단 '운영 승인 전 분석 제안' 고정 안내 문구 출력 기능</x:t>
  </x:si>
  <x:si>
    <x:t xml:space="preserve">Out of Scope(단속/행정 승인 제외) 팝업/안내 표시 기능</x:t>
  </x:si>
  <x:si>
    <x:t xml:space="preserve">/</x:t>
  </x:si>
  <x:si>
    <x:t xml:space="preserve">작업면 차량 점유 감지 (AI)</x:t>
  </x:si>
  <x:si>
    <x:t xml:space="preserve">수거 작업면 관심영역(ROI) 설정 및 동영상 프레임 로드 기능</x:t>
  </x:si>
  <x:si>
    <x:t xml:space="preserve">ROI 내 주정차 차량 탐지/추적(YOLO 등) 및 객체 ID 부여 기능</x:t>
  </x:si>
  <x:si>
    <x:t xml:space="preserve">차량 점유 지속시간 계산 및 모의 알림/이벤트 생성 기능</x:t>
  </x:si>
  <x:si>
    <x:t xml:space="preserve">적치·넘침 및 상태 감지 (AI)</x:t>
  </x:si>
  <x:si>
    <x:t xml:space="preserve">배출 영역 내 폐기물 발생 및 적치 영역(Segmentation/Bounding Box) 감지 기능</x:t>
  </x:si>
  <x:si>
    <x:t xml:space="preserve">영상상 적치 점유율(%) 및 수거 전/후 적치 변화량 계산 기능</x:t>
  </x:si>
  <x:si>
    <x:t xml:space="preserve">기준 비율 초과 시 넘침(Overflow) 경보 이벤트 생성 및 관제 연동 기능</x:t>
  </x:si>
  <x:si>
    <x:t xml:space="preserve">AI 수신 이벤트(차량 점유, 넘침, 대형물) 실시간 목록/지도 표시 기능</x:t>
  </x:si>
  <x:si>
    <x:t xml:space="preserve">담당자의 현장 확인 완료 및 이벤트 상태 해제 처리 기능</x:t>
  </x:si>
  <x:si>
    <x:t xml:space="preserve">서비스 소개 </x:t>
  </x:si>
  <x:si>
    <x:t xml:space="preserve">데이터 명세</x:t>
  </x:si>
  <x:si>
    <x:t xml:space="preserve">번호</x:t>
  </x:si>
  <x:si>
    <x:t xml:space="preserve">구분</x:t>
  </x:si>
  <x:si>
    <x:t xml:space="preserve">데이터명</x:t>
  </x:si>
  <x:si>
    <x:t xml:space="preserve">세부(레이어·시트)</x:t>
  </x:si>
  <x:si>
    <x:t xml:space="preserve">제공기관</x:t>
  </x:si>
  <x:si>
    <x:t xml:space="preserve">형식</x:t>
  </x:si>
  <x:si>
    <x:t xml:space="preserve">좌표계</x:t>
  </x:si>
  <x:si>
    <x:t xml:space="preserve">데이터 기준일</x:t>
  </x:si>
  <x:si>
    <x:t xml:space="preserve">사용 목적</x:t>
  </x:si>
  <x:si>
    <x:t xml:space="preserve">사용 컬럼</x:t>
  </x:si>
  <x:si>
    <x:t xml:space="preserve">필터·가공</x:t>
  </x:si>
  <x:si>
    <x:t xml:space="preserve">연결(조인) 방식</x:t>
  </x:si>
  <x:si>
    <x:t xml:space="preserve">D01</x:t>
  </x:si>
  <x:si>
    <x:t xml:space="preserve">공공데이터</x:t>
  </x:si>
  <x:si>
    <x:t xml:space="preserve">행정동 경계</x:t>
  </x:si>
  <x:si>
    <x:t xml:space="preserve">전국 행정동 (ver20260701)</x:t>
  </x:si>
  <x:si>
    <x:t xml:space="preserve">vuski/admdongkor 
(통계청 SGIS 경계 기반)</x:t>
  </x:si>
  <x:si>
    <x:t xml:space="preserve">GeoJSON</x:t>
  </x:si>
  <x:si>
    <x:t xml:space="preserve">WGS84 (EPSG:4326)</x:t>
  </x:si>
  <x:si>
    <x:t xml:space="preserve">2026-07-01 (버전)</x:t>
  </x:si>
  <x:si>
    <x:t xml:space="preserve">분석 범위(신월1동) 설정</x:t>
  </x:si>
  <x:si>
    <x:t xml:space="preserve">adm_nm, geometry</x:t>
  </x:si>
  <x:si>
    <x:t xml:space="preserve">adm_nm = '서울특별시 양천구 신월1동' 1건 추출 
→ EPSG:5186 변환, 경계 500m 확장 범위 생성</x:t>
  </x:si>
  <x:si>
    <x:t xml:space="preserve">이후 모든 단계에서 '경계 안/밖' 판정에 사용</x:t>
  </x:si>
  <x:si>
    <x:t xml:space="preserve">D02</x:t>
  </x:si>
  <x:si>
    <x:t xml:space="preserve">전국어린이보호구역표준데이터</x:t>
  </x:si>
  <x:si>
    <x:t xml:space="preserve">-</x:t>
  </x:si>
  <x:si>
    <x:t xml:space="preserve">공공데이터포털</x:t>
  </x:si>
  <x:si>
    <x:t xml:space="preserve">CSV</x:t>
  </x:si>
  <x:si>
    <x:t xml:space="preserve">WGS84 위경도 열</x:t>
  </x:si>
  <x:si>
    <x:t xml:space="preserve">2026-07-01 ~ 2026-08-05</x:t>
  </x:si>
  <x:si>
    <x:t xml:space="preserve">기준 2 안전성: 
보호구역 대상시설 반경 200m 안 후보 제외</x:t>
  </x:si>
  <x:si>
    <x:t xml:space="preserve">시설종류, 대상시설명, 소재지지번주소, 소재지도로명주소, 위도, 경도</x:t>
  </x:si>
  <x:si>
    <x:t xml:space="preserve">위경도 → 점 → 
EPSG:5186, 신월1동 600m 안만 사용</x:t>
  </x:si>
  <x:si>
    <x:t xml:space="preserve">후보 점과 시설 점의 거리 계산 (최근접 시설·거리 기록)</x:t>
  </x:si>
  <x:si>
    <x:t xml:space="preserve">D03</x:t>
  </x:si>
  <x:si>
    <x:t xml:space="preserve">전국노인장애인보호구역표준데이터</x:t>
  </x:si>
  <x:si>
    <x:t xml:space="preserve">양천구 7곳</x:t>
  </x:si>
  <x:si>
    <x:t xml:space="preserve">기준 2 안전성: 
노인·장애인 보호구역 대상시설 반경 200m 안 제외</x:t>
  </x:si>
  <x:si>
    <x:t xml:space="preserve">대상시설명, 소재지도로명주소, 위도, 경도</x:t>
  </x:si>
  <x:si>
    <x:t xml:space="preserve">D02와 합쳐 하나의 보호시설 목록으로 사용</x:t>
  </x:si>
  <x:si>
    <x:t xml:space="preserve">D02와 같음</x:t>
  </x:si>
  <x:si>
    <x:t xml:space="preserve">D04</x:t>
  </x:si>
  <x:si>
    <x:t xml:space="preserve">전국도시공원정보표준데이터</x:t>
  </x:si>
  <x:si>
    <x:t xml:space="preserve">2024-10-14 ~ 2026-04-17 </x:t>
  </x:si>
  <x:si>
    <x:t xml:space="preserve">기준 3 부지 확보: 
공원 후보</x:t>
  </x:si>
  <x:si>
    <x:t xml:space="preserve">공원명, 공원구분, 소재지지번주소, 공원면적, 위도, 경도</x:t>
  </x:si>
  <x:si>
    <x:t xml:space="preserve">후보 점 ↔ 보호시설·도로 거리</x:t>
  </x:si>
  <x:si>
    <x:t xml:space="preserve">D05</x:t>
  </x:si>
  <x:si>
    <x:t xml:space="preserve">전국주차장정보표준데이터</x:t>
  </x:si>
  <x:si>
    <x:t xml:space="preserve">2026-04-17 ~ 2026-08-19 </x:t>
  </x:si>
  <x:si>
    <x:t xml:space="preserve">기준 3 부지 확보: 
공영주차장 후보</x:t>
  </x:si>
  <x:si>
    <x:t xml:space="preserve">주차장명, 주차장구분, 주차장유형, 소재지지번주소, 주차구획수, 위도, 경도</x:t>
  </x:si>
  <x:si>
    <x:t xml:space="preserve">면적 = 주차구획수 × 12.5㎡(추정) 로 계산.
노상주차장은 도로폭에서 주차면 2.5m 제외</x:t>
  </x:si>
  <x:si>
    <x:t xml:space="preserve">D06</x:t>
  </x:si>
  <x:si>
    <x:t xml:space="preserve">도로명주소 전자지도 (양천구)</x:t>
  </x:si>
  <x:si>
    <x:t xml:space="preserve">TL_SPRD_MANAGE (도로구간)</x:t>
  </x:si>
  <x:si>
    <x:t xml:space="preserve">행정안전부</x:t>
  </x:si>
  <x:si>
    <x:t xml:space="preserve">SHP</x:t>
  </x:si>
  <x:si>
    <x:t xml:space="preserve">UTM-K (EPSG:5179)</x:t>
  </x:si>
  <x:si>
    <x:t xml:space="preserve">2026-04-28 (최종 작업일)</x:t>
  </x:si>
  <x:si>
    <x:t xml:space="preserve">기준 1 차량 접근성: 
등록 도로폭(ROAD_BT) / 도로망 / 도로명</x:t>
  </x:si>
  <x:si>
    <x:t xml:space="preserve">RN, RN_CD, ROAD_BT, ROA_CLS_SE, geometry</x:t>
  </x:si>
  <x:si>
    <x:t xml:space="preserve">등록폭 7m 이상이면 진입 가능. 
위계 1·2(고속도로·대로)는 도로변 공터 탐색에서 제외. 
도로 끝점으로 교차로 추출</x:t>
  </x:si>
  <x:si>
    <x:t xml:space="preserve">후보 40m 안 도로 중 가장 넓은 도로를 진입로로 연결 / 
건물 RN_CD ↔ 도로 RN_CD로 도로명주소 생성</x:t>
  </x:si>
  <x:si>
    <x:t xml:space="preserve">D07</x:t>
  </x:si>
  <x:si>
    <x:t xml:space="preserve">TL_SPRD_RW (실폭도로)</x:t>
  </x:si>
  <x:si>
    <x:t xml:space="preserve">2026-08-25 (최종 작업일)</x:t>
  </x:si>
  <x:si>
    <x:t xml:space="preserve">실측 도로폭 계산 / 공터 추정 시 도로 면적 제외</x:t>
  </x:si>
  <x:si>
    <x:t xml:space="preserve">geometry (도로 면)</x:t>
  </x:si>
  <x:si>
    <x:t xml:space="preserve">도로구간(D06) 위 지점 ↔ 실폭도로 면 교차</x:t>
  </x:si>
  <x:si>
    <x:t xml:space="preserve">D08</x:t>
  </x:si>
  <x:si>
    <x:t xml:space="preserve">TL_SPBD_BULD (건물)</x:t>
  </x:si>
  <x:si>
    <x:t xml:space="preserve">2026-09-29 (최종 작업일)</x:t>
  </x:si>
  <x:si>
    <x:t xml:space="preserve">공터 / 공공시설 파악</x:t>
  </x:si>
  <x:si>
    <x:t xml:space="preserve">geometry, BULD_NM, BDTYP_CD, RN_CD, BULD_MNNM, BULD_SLNO, LNBR_MNNM, LNBR_SLNO (2차: SIG_CD, EMD_CD, LI_CD, MNTN_YN)</x:t>
  </x:si>
  <x:si>
    <x:t xml:space="preserve">건물명 기준으로 공공시설 후보 추출. 
동 면적 − 건물 − 도로 − 골목 = 빈 공간(공터 추정)</x:t>
  </x:si>
  <x:si>
    <x:t xml:space="preserve">후보 점 → 60m 안 가장 가까운 건물의 도로명·지번으로 주소 생성 / 
2차: 지번(PNU 형식) 키로 표제부와 연결</x:t>
  </x:si>
  <x:si>
    <x:t xml:space="preserve">D09</x:t>
  </x:si>
  <x:si>
    <x:t xml:space="preserve">건축물대장 표제부 (양천구 신월동)</x:t>
  </x:si>
  <x:si>
    <x:t xml:space="preserve">국토교통부 (건축HUB)</x:t>
  </x:si>
  <x:si>
    <x:t xml:space="preserve">XLSX</x:t>
  </x:si>
  <x:si>
    <x:t xml:space="preserve">좌표 없음 (지번으로 연결)</x:t>
  </x:si>
  <x:si>
    <x:t xml:space="preserve">2026-09-28 (생성일자 최댓값)</x:t>
  </x:si>
  <x:si>
    <x:t xml:space="preserve">보행 접근성·거점 커버리지 계산</x:t>
  </x:si>
  <x:si>
    <x:t xml:space="preserve">대지구분코드, 번, 지, 세대수(세대), 가구수(가구), 주용도코드명, 기타용도</x:t>
  </x:si>
  <x:si>
    <x:t xml:space="preserve">세대 = 세대수 + 가구수. 
기타용도에 '아파트' 포함 시 제외. 주거 용도인데 0이면 1세대로 간주</x:t>
  </x:si>
  <x:si>
    <x:t xml:space="preserve">지번(시군구+법정동+산여부+번+지) 키로 건물(D08)과 연결 (연결률 99.5%)</x:t>
  </x:si>
  <x:si>
    <x:t xml:space="preserve">D10</x:t>
  </x:si>
  <x:si>
    <x:t xml:space="preserve">팀 확인</x:t>
  </x:si>
  <x:si>
    <x:t xml:space="preserve">위성지도</x:t>
  </x:si>
  <x:si>
    <x:t xml:space="preserve">후보군 위성지도에서 직접 확인
추출한 11개 후보지 모두 위성지도에서 이상 없음 확인</x:t>
  </x:si>
  <x:si>
    <x:t xml:space="preserve">D11</x:t>
  </x:si>
  <x:si>
    <x:t xml:space="preserve">건축물대장 표제부 (신월동)</x:t>
  </x:si>
  <x:si>
    <x:t xml:space="preserve">API 응답 7,247건</x:t>
  </x:si>
  <x:si>
    <x:t xml:space="preserve">JSON</x:t>
  </x:si>
  <x:si>
    <x:t xml:space="preserve">좌표 없음</x:t>
  </x:si>
  <x:si>
    <x:t xml:space="preserve">건물 용도 분류 / 가구·세대 집계 / 건물명 보완</x:t>
  </x:si>
  <x:si>
    <x:t xml:space="preserve">mainAtchGbCd, mainPurpsCdNm, etcPurps, fmlyCnt, hhldCnt, bldNm, crtnDay, 지번 코드</x:t>
  </x:si>
  <x:si>
    <x:t xml:space="preserve">주건축물만 사용. 아파트 포함 필지 제외. 가구·세대 별도 집계</x:t>
  </x:si>
  <x:si>
    <x:t xml:space="preserve">지번으로 PNU 생성 → 건물(D12)과 연결</x:t>
  </x:si>
  <x:si>
    <x:t xml:space="preserve">D12</x:t>
  </x:si>
  <x:si>
    <x:t xml:space="preserve">도로명주소건물</x:t>
  </x:si>
  <x:si>
    <x:t xml:space="preserve">LT_C_SPBD</x:t>
  </x:si>
  <x:si>
    <x:t xml:space="preserve">VWorld</x:t>
  </x:si>
  <x:si>
    <x:t xml:space="preserve">기준일 미제공 / 2026-10-18 수집</x:t>
  </x:si>
  <x:si>
    <x:t xml:space="preserve">필지 위치 및 지도 좌표 확보</x:t>
  </x:si>
  <x:si>
    <x:t xml:space="preserve">pnu, buld_nm, geometry</x:t>
  </x:si>
  <x:si>
    <x:t xml:space="preserve">신월1동 경계 내 건물 추출. 동일 필지는 가장 큰 건물 도형의 내부 대표점 사용</x:t>
  </x:si>
  <x:si>
    <x:t xml:space="preserve">PNU로 표제부(D11) 연결 / 경계(D13) 포함 판정</x:t>
  </x:si>
  <x:si>
    <x:t xml:space="preserve">D13</x:t>
  </x:si>
  <x:si>
    <x:t xml:space="preserve">SGIS 2025 신월1동</x:t>
  </x:si>
  <x:si>
    <x:t xml:space="preserve">통계청 SGIS</x:t>
  </x:si>
  <x:si>
    <x:t xml:space="preserve">EPSG:5179 → EPSG:4326</x:t>
  </x:si>
  <x:si>
    <x:t xml:space="preserve">2025년 (경계판)</x:t>
  </x:si>
  <x:si>
    <x:t xml:space="preserve">프리뷰 수요 분석 범위 설정 / 팀 경계 비교</x:t>
  </x:si>
  <x:si>
    <x:t xml:space="preserve">adm_cd, adm_nm, geometry</x:t>
  </x:si>
  <x:si>
    <x:t xml:space="preserve">신월1동 추출. 건물 대표점의 경계 포함 여부 확인</x:t>
  </x:si>
  <x:si>
    <x:t xml:space="preserve">건물(D12)과 공간 결합 / D01 경계 적용 결과와 비교</x:t>
  </x:si>
  <x:si>
    <x:t xml:space="preserve">D14</x:t>
  </x:si>
  <x:si>
    <x:t xml:space="preserve">가구·주택 통계</x:t>
  </x:si>
  <x:si>
    <x:t xml:space="preserve">population / house</x:t>
  </x:si>
  <x:si>
    <x:t xml:space="preserve">좌표 없음 (행정동 코드)</x:t>
  </x:si>
  <x:si>
    <x:t xml:space="preserve">2021·2024년 (통계 기준연도)</x:t>
  </x:si>
  <x:si>
    <x:t xml:space="preserve">권역 내 가구 비중 / 비아파트 주택 비중 계산</x:t>
  </x:si>
  <x:si>
    <x:t xml:space="preserve">adm_cd, adm_nm, tot_family, tot_house, house_cnt</x:t>
  </x:si>
  <x:si>
    <x:t xml:space="preserve">신월1·2·3·5동의 같은 연도 통계 집계. 아파트 코드 02 적용</x:t>
  </x:si>
  <x:si>
    <x:t xml:space="preserve">기준연도와 권역 구성 동으로 배출량(D15) 연결</x:t>
  </x:si>
  <x:si>
    <x:t xml:space="preserve">D15</x:t>
  </x:si>
  <x:si>
    <x:t xml:space="preserve">양천구 구역별 쓰레기 배출량</x:t>
  </x:si>
  <x:si>
    <x:t xml:space="preserve">1구역 (신월1·2·3·5동)</x:t>
  </x:si>
  <x:si>
    <x:t xml:space="preserve">서울특별시 양천구</x:t>
  </x:si>
  <x:si>
    <x:t xml:space="preserve">2026-08-31 (데이터기준일)</x:t>
  </x:si>
  <x:si>
    <x:t xml:space="preserve">과거 배출량 확인 / 신월1동 참고 배출량 추정</x:t>
  </x:si>
  <x:si>
    <x:t xml:space="preserve">기준년도, 기준월, 구역, 행정동, 일반생활(톤), 음식물류(톤), 재활용품(톤)</x:t>
  </x:si>
  <x:si>
    <x:t xml:space="preserve">2021·2024년 집계. 권역량×가구 비중×비아파트 주택 비중으로 추정. 재활용 추정 보류</x:t>
  </x:si>
  <x:si>
    <x:t xml:space="preserve">같은 연도의 가구·주택 통계(D14) 연결</x:t>
  </x:si>
  <x:si>
    <x:t xml:space="preserve">D16</x:t>
  </x:si>
  <x:si>
    <x:t xml:space="preserve">도로명주소 검색 API</x:t>
  </x:si>
  <x:si>
    <x:t xml:space="preserve">addrLinkapi</x:t>
  </x:si>
  <x:si>
    <x:t xml:space="preserve">기준일 미제공 / 2026-10-20 조회</x:t>
  </x:si>
  <x:si>
    <x:t xml:space="preserve">검토 대상 주소 및 공식 건물명 확인</x:t>
  </x:si>
  <x:si>
    <x:t xml:space="preserve">roadAddr, jibunAddr, bdNm, admCd, mtYn, lnbrMnnm, lnbrSlno</x:t>
  </x:si>
  <x:si>
    <x:t xml:space="preserve">검토 대상 16필지 조회. 동일 PNU 결과만 채택</x:t>
  </x:si>
  <x:si>
    <x:t xml:space="preserve">법정동·지번으로 PNU 생성 → D11·D12 대조</x:t>
  </x:si>
  <x:si>
    <x:t xml:space="preserve">D17</x:t>
  </x:si>
  <x:si>
    <x:t xml:space="preserve">도로명주소 좌표 API</x:t>
  </x:si>
  <x:si>
    <x:t xml:space="preserve">addrCoordApi</x:t>
  </x:si>
  <x:si>
    <x:t xml:space="preserve">UTM-K (EPSG:5179) → WGS84 (EPSG:4326)</x:t>
  </x:si>
  <x:si>
    <x:t xml:space="preserve">검토 대상 16필지 좌표 확보 및 기존 위치 비교</x:t>
  </x:si>
  <x:si>
    <x:t xml:space="preserve">entX, entY, admCd, rnMgtSn, buldMnnm, buldSlno</x:t>
  </x:si>
  <x:si>
    <x:t xml:space="preserve">위경도 변환 후 기존 대표점과 비교. 기존 좌표는 유지하고 별도 저장</x:t>
  </x:si>
  <x:si>
    <x:t xml:space="preserve">D16의 주소 식별값으로 조회 → PNU로 필지 연결</x:t>
  </x:si>
  <x:si>
    <x:t xml:space="preserve">D18</x:t>
  </x:si>
  <x:si>
    <x:t xml:space="preserve">분석 산출물</x:t>
  </x:si>
  <x:si>
    <x:t xml:space="preserve">신월1동 필지 수요·주소 보완본</x:t>
  </x:si>
  <x:si>
    <x:t xml:space="preserve">sinwol1_demand_enriched.json</x:t>
  </x:si>
  <x:si>
    <x:t xml:space="preserve">팀 자체 분석 (이원홍)</x:t>
  </x:si>
  <x:si>
    <x:t xml:space="preserve">JSON / CSV</x:t>
  </x:si>
  <x:si>
    <x:t xml:space="preserve">2026-10-20 (보완일)</x:t>
  </x:si>
  <x:si>
    <x:t xml:space="preserve">검색·지도에 연결할 수요 데이터 제공</x:t>
  </x:si>
  <x:si>
    <x:t xml:space="preserve">building_id, pnu, address, longitude, latitude, use_group, 가구·세대, building_names</x:t>
  </x:si>
  <x:si>
    <x:t xml:space="preserve">building_id·PNU를 공통 키로 개발 데이터 연결</x:t>
  </x:si>
  <x:si>
    <x:t xml:space="preserve">작업 ID</x:t>
  </x:si>
  <x:si>
    <x:t xml:space="preserve">시작일</x:t>
  </x:si>
  <x:si>
    <x:t xml:space="preserve">마감일</x:t>
  </x:si>
  <x:si>
    <x:t xml:space="preserve">담당 역할 초안</x:t>
  </x:si>
  <x:si>
    <x:t xml:space="preserve">연계 요구사항</x:t>
  </x:si>
  <x:si>
    <x:t xml:space="preserve">작업 내용과 산출물</x:t>
  </x:si>
  <x:si>
    <x:t xml:space="preserve">선행 작업 / 전달 시점</x:t>
  </x:si>
  <x:si>
    <x:t xml:space="preserve">진행 상태</x:t>
  </x:si>
  <x:si>
    <x:t xml:space="preserve">팀 의견 / 막힌 점</x:t>
  </x:si>
  <x:si>
    <x:t xml:space="preserve">T01</x:t>
  </x:si>
  <x:si>
    <x:t xml:space="preserve">공통</x:t>
  </x:si>
  <x:si>
    <x:t xml:space="preserve">팀 역할·범위·필수 제출물을 맞추고 데이터 필드·ID·단위를 합의한다. 산출물: 요구사항 수용여부와 전달 형식.</x:t>
  </x:si>
  <x:si>
    <x:t xml:space="preserve">첫날 공동 합의</x:t>
  </x:si>
  <x:si>
    <x:t xml:space="preserve">T02</x:t>
  </x:si>
  <x:si>
    <x:t xml:space="preserve">GZ-DA-001</x:t>
  </x:si>
  <x:si>
    <x:t xml:space="preserve">프리뷰 건물·필지 분류, 후보·배정표, 출처·기준일을 검수한다. 산출물: 오류·누락·추가 확인 목록.</x:t>
  </x:si>
  <x:si>
    <x:t xml:space="preserve">프리뷰 자료</x:t>
  </x:si>
  <x:si>
    <x:t xml:space="preserve">T03</x:t>
  </x:si>
  <x:si>
    <x:t xml:space="preserve">GZ-WEB-001</x:t>
  </x:si>
  <x:si>
    <x:t xml:space="preserve">프리뷰 실행을 확인하고 건물 검색·지도·답변을 한 화면에 배치한다. 산출물: 화면 범위와 작업 목록.</x:t>
  </x:si>
  <x:si>
    <x:t xml:space="preserve">프리뷰 재사용</x:t>
  </x:si>
  <x:si>
    <x:t xml:space="preserve">T04</x:t>
  </x:si>
  <x:si>
    <x:t xml:space="preserve">GZ-AI-001</x:t>
  </x:si>
  <x:si>
    <x:t xml:space="preserve">서버·DB 구조와 지원 모델 접근을 확인하고 LangChain 또는 LangGraph 선택안을 정한다. 산출물: 예시 입출력 연결.</x:t>
  </x:si>
  <x:si>
    <x:t xml:space="preserve">T01 공동 형식 합의</x:t>
  </x:si>
  <x:si>
    <x:t xml:space="preserve">T05</x:t>
  </x:si>
  <x:si>
    <x:t xml:space="preserve">공식 품목표·안내문을 정리하고 출처·확인일·지역 조건을 기록한다. 산출물: 검색용 자료 목록.</x:t>
  </x:si>
  <x:si>
    <x:t xml:space="preserve">T01; 개발 B에 전달</x:t>
  </x:si>
  <x:si>
    <x:t xml:space="preserve">T06</x:t>
  </x:si>
  <x:si>
    <x:t xml:space="preserve">차량 접근·정차·보행 등 후보 조건을 검토한다. 산출물: 확인·제외·미확인 사유와 비교 대상 후보.</x:t>
  </x:si>
  <x:si>
    <x:t xml:space="preserve">T07</x:t>
  </x:si>
  <x:si>
    <x:t xml:space="preserve">예시 데이터로 건물 선택·담당 후보·상태·근거 표시를 연결한다. 산출물: 조회 가능한 안내 화면.</x:t>
  </x:si>
  <x:si>
    <x:t xml:space="preserve">T03; 최종 분석 전 병행</x:t>
  </x:si>
  <x:si>
    <x:t xml:space="preserve">T08</x:t>
  </x:si>
  <x:si>
    <x:t xml:space="preserve">공식 DB 조회와 문서 색인·RAG 검색을 연결한다. 산출물: 관련 근거와 원문 출처를 반환하는 흐름.</x:t>
  </x:si>
  <x:si>
    <x:t xml:space="preserve">T04·T05</x:t>
  </x:si>
  <x:si>
    <x:t xml:space="preserve">T09</x:t>
  </x:si>
  <x:si>
    <x:t xml:space="preserve">A/B 지표의 단위·출처·미확인 조건을 대조한다. 산출물: 개발 전달본 검수와 공통 평가 질문 초안.</x:t>
  </x:si>
  <x:si>
    <x:t xml:space="preserve">T06; T10 중간본 검수</x:t>
  </x:si>
  <x:si>
    <x:t xml:space="preserve">T10</x:t>
  </x:si>
  <x:si>
    <x:t xml:space="preserve">기존안 A와 조정안 B의 접근거리·배정 편중·작업 조건을 비교한다. 산출물: 배정표·선정 근거 오전 중간본.</x:t>
  </x:si>
  <x:si>
    <x:t xml:space="preserve">T06; 오전 개발 A에 전달</x:t>
  </x:si>
  <x:si>
    <x:t xml:space="preserve">T11</x:t>
  </x:si>
  <x:si>
    <x:t xml:space="preserve">오후에 실제 분석 파일을 연결해 건물 검색부터 배정 후보·선정 근거를 표시한다. 산출물: 분석과 지도 통합.</x:t>
  </x:si>
  <x:si>
    <x:t xml:space="preserve">T07·T10</x:t>
  </x:si>
  <x:si>
    <x:t xml:space="preserve">T12</x:t>
  </x:si>
  <x:si>
    <x:t xml:space="preserve">GZ-AI-001; GZ-QA-001</x:t>
  </x:si>
  <x:si>
    <x:t xml:space="preserve">LLM 답변·공식 출처·정보 부족 안내와 Opik 추적을 연결한다. 산출물: 웹 응답과 실행 기록.</x:t>
  </x:si>
  <x:si>
    <x:t xml:space="preserve">T13</x:t>
  </x:si>
  <x:si>
    <x:t xml:space="preserve">핵심 완료 조건·출처·운영점과 제안 구분을 검수하고 발표 구조를 작성한다. 산출물: 오류 목록·발표 초안.</x:t>
  </x:si>
  <x:si>
    <x:t xml:space="preserve">T09·T11·T12</x:t>
  </x:si>
  <x:si>
    <x:t xml:space="preserve">T14</x:t>
  </x:si>
  <x:si>
    <x:t xml:space="preserve">GZ-QA-001</x:t>
  </x:si>
  <x:si>
    <x:t xml:space="preserve">공통 질문 10개 이상을 근거와 대조하고 초기·개선 답변을 평가한다. 산출물: 오류 유형·개선 요청·평가표.</x:t>
  </x:si>
  <x:si>
    <x:t xml:space="preserve">T10·T12</x:t>
  </x:si>
  <x:si>
    <x:t xml:space="preserve">T15</x:t>
  </x:si>
  <x:si>
    <x:t xml:space="preserve">GZ-MGMT-001</x:t>
  </x:si>
  <x:si>
    <x:t xml:space="preserve">필요한 관리자 수정 화면을 재사용하고 모바일 표시를 보완한다. 산출물: 사용자 재조회 반영 화면.</x:t>
  </x:si>
  <x:si>
    <x:t xml:space="preserve">T11; 개발 B와 연동</x:t>
  </x:si>
  <x:si>
    <x:t xml:space="preserve">T16</x:t>
  </x:si>
  <x:si>
    <x:t xml:space="preserve">GZ-MGMT-001; GZ-QA-001</x:t>
  </x:si>
  <x:si>
    <x:t xml:space="preserve">동일 ID 저장·이전 값·변경 이력과 사용자 조회 반영을 연결하고 답변 오류를 개선한다. 산출물: 수정·응답 흐름.</x:t>
  </x:si>
  <x:si>
    <x:t xml:space="preserve">T12·T14; T15와 연동</x:t>
  </x:si>
  <x:si>
    <x:t xml:space="preserve">T17</x:t>
  </x:si>
  <x:si>
    <x:t xml:space="preserve">분석·웹·평가 결과를 발표로 통합하고 시연을 맞춘다. 산출물: 발표 자료·제출 목록·시연 대체 화면.</x:t>
  </x:si>
  <x:si>
    <x:t xml:space="preserve">T13·T14·T15·T16</x:t>
  </x:si>
  <x:si>
    <x:t xml:space="preserve">T18</x:t>
  </x:si>
  <x:si>
    <x:t xml:space="preserve">GZ-DA-001; GZ-QA-001</x:t>
  </x:si>
  <x:si>
    <x:t xml:space="preserve">추천안·배정표·평가 결과·한계를 최종 대조한다. 산출물: 최종 분석 파일과 발표 수치.</x:t>
  </x:si>
  <x:si>
    <x:t xml:space="preserve">작업체크리스트 (담당, 일정 포함)</x:t>
  </x:si>
  <x:si>
    <x:t xml:space="preserve">: 개발 플로우는 개발 쪽에서 자유롭게 수정해주셔도 됩니다. 구체적으로 어느 작업이 이루어지는지, 담당자와, 예상 소요 시간(일) </x:t>
  </x:si>
  <x:si>
    <x:t xml:space="preserve">작업명</x:t>
  </x:si>
  <x:si>
    <x:t xml:space="preserve">Description</x:t>
  </x:si>
  <x:si>
    <x:t xml:space="preserve">담당자</x:t>
  </x:si>
  <x:si>
    <x:t xml:space="preserve">종료일</x:t>
  </x:si>
  <x:si>
    <x:t xml:space="preserve">상태/비고 (자유롭게)</x:t>
  </x:si>
  <x:si>
    <x:t xml:space="preserve">COMMON</x:t>
  </x:si>
  <x:si>
    <x:t xml:space="preserve">착수 및 범위 확정</x:t>
  </x:si>
  <x:si>
    <x:t xml:space="preserve">MVP 범위 확정, 역할 분담</x:t>
  </x:si>
  <x:si>
    <x:t xml:space="preserve">2026-10-20(화)</x:t>
  </x:si>
  <x:si>
    <x:t xml:space="preserve">개발 환경 구축</x:t>
  </x:si>
  <x:si>
    <x:t xml:space="preserve">팀 Git 저장소·브랜치 전략, 프로젝트 골격 구축, API 키(주소/지도/AI) 발급·관리</x:t>
  </x:si>
  <x:si>
    <x:t xml:space="preserve">프론트엔드 골격 구성</x:t>
  </x:si>
  <x:si>
    <x:t xml:space="preserve">웹 화면 골격 구성</x:t>
  </x:si>
  <x:si>
    <x:t xml:space="preserve">데이터 수집/정제</x:t>
  </x:si>
  <x:si>
    <x:t xml:space="preserve">구역별 배출 수요 분석. REQ-DA-002 no.5 와 동시 진행</x:t>
  </x:si>
  <x:si>
    <x:t xml:space="preserve">차량접근성, 안전성, 부지 확보 가능성 기준, 1차 후보군 추출 후, 웹 쪽에 데이터 공유</x:t>
  </x:si>
  <x:si>
    <x:t xml:space="preserve">최종 거점 후보 선정</x:t>
  </x:si>
  <x:si>
    <x:t xml:space="preserve">분석된 배출 수요에 기반, 2차 거점 후보 픽스 후, 웹 쪽에 데이터 공유</x:t>
  </x:si>
  <x:si>
    <x:t xml:space="preserve">최종 거점 후보 설명</x:t>
  </x:si>
  <x:si>
    <x:t xml:space="preserve">2차 거점 후보 픽스 분석 로직, 결과 및 근거 시각화 파일 도출</x:t>
  </x:si>
  <x:si>
    <x:t xml:space="preserve">2026-10-21(수)</x:t>
  </x:si>
  <x:si>
    <x:t xml:space="preserve">주소 검색 기능 구현</x:t>
  </x:si>
  <x:si>
    <x:t xml:space="preserve">도로명주소 및 건물명 검색 기능 구현</x:t>
  </x:si>
  <x:si>
    <x:t xml:space="preserve">2026-10-20(수)</x:t>
  </x:si>
  <x:si>
    <x:t xml:space="preserve">분석반 강사님 왈: 웹에 지도구현할 때 folium, leaflet 이라는 거 많이 쓴다고 하시는데 혹시 도움이 될까 하고 남겨둡니다~!</x:t>
  </x:si>
  <x:si>
    <x:t xml:space="preserve">지도 연동</x:t>
  </x:si>
  <x:si>
    <x:t xml:space="preserve">지도연동, 검색 위치(집), 담당 거점, 제안 권역 폴리곤, 수거차 방문 순서 레이어 시각화</x:t>
  </x:si>
  <x:si>
    <x:t xml:space="preserve">담당 거점 배정</x:t>
  </x:si>
  <x:si>
    <x:t xml:space="preserve">담당 권역 및 거점 배정 안내, 사용자 주소와 수거 권역 매핑 및 거리 정보 표시</x:t>
  </x:si>
  <x:si>
    <x:t xml:space="preserve">배정 안내 화면</x:t>
  </x:si>
  <x:si>
    <x:t xml:space="preserve">권역명·담당 거점·거리를 카드형으로 표시, 지도 레이어와 연동</x:t>
  </x:si>
  <x:si>
    <x:t xml:space="preserve">자동완성·유사주소 선택 UI</x:t>
  </x:si>
  <x:si>
    <x:t xml:space="preserve">사용자 주소 입력 자동완성 기능, 유사 주소 후보 목록 표시 및 선택 시 지도 이동</x:t>
  </x:si>
  <x:si>
    <x:t xml:space="preserve">Vision 모델 선정 및 품목 체계 정의</x:t>
  </x:si>
  <x:si>
    <x:t xml:space="preserve">품목 분류 체계(소파/침대/장롱 등)를 지자체 수수료표 기준으로 정의하고 Vision 모델 및 프롬프트 선정</x:t>
  </x:si>
  <x:si>
    <x:t xml:space="preserve">배출 규칙·수수료 문서 수집/구조화</x:t>
  </x:si>
  <x:si>
    <x:t xml:space="preserve">지역별 배출 규칙, 배출 요일·시간, 품목별 수수료 문서 수집 및 DB/청크 형태로 구조화</x:t>
  </x:si>
  <x:si>
    <x:t xml:space="preserve">RAG 파이프라인 구축</x:t>
  </x:si>
  <x:si>
    <x:t xml:space="preserve">임베딩·검색·답변 생성 파이프라인 구현, 근거 문서 출처 표기, 근거 없을 시 '추가 확인 필요' 보류 응답 처리</x:t>
  </x:si>
  <x:si>
    <x:t xml:space="preserve">통합 테스트 및 버그 수정</x:t>
  </x:si>
  <x:si>
    <x:t xml:space="preserve">주소 검색→권역 안내→사진 업로드→AI 인식→수수료/예약 연결 전체 시나리오 테스트 및 결함 수정</x:t>
  </x:si>
  <x:si>
    <x:t xml:space="preserve">시연 및 결과 보고</x:t>
  </x:si>
  <x:si>
    <x:t xml:space="preserve">시연 시나리오 준비, 요구사항별 충족 현황 및 잔여 과제 정리·보고</x:t>
  </x:si>
  <x:si>
    <x:t xml:space="preserve">역할</x:t>
  </x:si>
  <x:si>
    <x:t xml:space="preserve">이름</x:t>
  </x:si>
  <x:si>
    <x:t xml:space="preserve">PM</x:t>
  </x:si>
  <x:si>
    <x:t xml:space="preserve">이원홍</x:t>
  </x:si>
  <x:si>
    <x:t xml:space="preserve">분석</x:t>
  </x:si>
  <x:si>
    <x:t xml:space="preserve">박재희</x:t>
  </x:si>
  <x:si>
    <x:t xml:space="preserve">개발1</x:t>
  </x:si>
  <x:si>
    <x:t xml:space="preserve">김낙준</x:t>
  </x:si>
  <x:si>
    <x:t xml:space="preserve">개발2</x:t>
  </x:si>
  <x:si>
    <x:t xml:space="preserve">장다경</x:t>
  </x:si>
  <x:si>
    <x:t xml:space="preserve">그린존 핵심 요구사항과 5일 작업계획</x:t>
  </x:si>
  <x:si>
    <x:t xml:space="preserve">작업 시작일</x:t>
  </x:si>
  <x:si>
    <x:t xml:space="preserve">제출 마감</x:t>
  </x:si>
  <x:si>
    <x:t xml:space="preserve">팀 구성</x:t>
  </x:si>
  <x:si>
    <x:t xml:space="preserve">통합 묶음</x:t>
  </x:si>
  <x:si>
    <x:t xml:space="preserve">상세 설명과 완료 기준</x:t>
  </x:si>
  <x:si>
    <x:t xml:space="preserve">팀 수용여부</x:t>
  </x:si>
  <x:si>
    <x:t xml:space="preserve">팀 의견 / 원항목</x:t>
  </x:si>
  <x:si>
    <x:t xml:space="preserve">위치 분석·배정</x:t>
  </x:si>
  <x:si>
    <x:t xml:space="preserve">후보 검토와 A/B 배정 분석</x:t>
  </x:si>
  <x:si>
    <x:t xml:space="preserve">프리뷰 자료의 건물 분류와 후보 조건을 검토하고, 기존안 A와 조정안 B를 비교한다.
 평균·P90 접근거리, 거점별 배정 수, 작업 조건의 확인 상태를 정리한다.
 완료: 배정표·선정 근거·미배정 및 미확인 사유를 같은 ID로 개발에 전달한다.</x:t>
  </x:si>
  <x:si>
    <x:t xml:space="preserve">필수</x:t>
  </x:si>
  <x:si>
    <x:t xml:space="preserve">분석 담당 / PM 지원</x:t>
  </x:si>
  <x:si>
    <x:t xml:space="preserve">원항목: REQ-DA-001~004
 P90: 대상 90%가 이내에 있는 거리. 대용 거리와 실제 이동을 구분.</x:t>
  </x:si>
  <x:si>
    <x:t xml:space="preserve">검색·지도·AI 안내</x:t>
  </x:si>
  <x:si>
    <x:t xml:space="preserve">건물 검색과 담당 후보 표시</x:t>
  </x:si>
  <x:si>
    <x:t xml:space="preserve">신월1동 건물·주소 검색 결과를 선택하면 건물과 배정된 제안 후보를 지도에 표시한다.
 완료: 선정 근거·후보 상태·거리 계산 방식을 같은 화면에서 확인하고 미수집 주소는 미수집으로 안내한다.</x:t>
  </x:si>
  <x:si>
    <x:t xml:space="preserve">개발 A / 분석 연결</x:t>
  </x:si>
  <x:si>
    <x:t xml:space="preserve">원항목: REQ-F-001, REQ-UI-001
 일반·위성 지도 등은 프리뷰 기능을 필요한 범위에서 재사용.</x:t>
  </x:si>
  <x:si>
    <x:t xml:space="preserve">공식 근거 기반 LLM/RAG 안내</x:t>
  </x:si>
  <x:si>
    <x:t xml:space="preserve">질문의 품목·규격·지역을 확인하고 공식 DB와 문서를 검색해 LLM이 설명한다. 정확한 값은 DB 조회 결과를 사용한다.
 완료: 출처·확인일을 표시하고, 근거 부족·규격 누락 시 추가 확인을 안내한다.
 LangChain 또는 LangGraph 중 하나로 흐름을 연결하며 LangChain을 우선 검토한다.</x:t>
  </x:si>
  <x:si>
    <x:t xml:space="preserve">개발 B / 자료·평가 공동</x:t>
  </x:si>
  <x:si>
    <x:t xml:space="preserve">원항목: REQ-F-002, REQ-AI-001~003
 LLM+RAG 반영 방향은 사용자 대화에서 확인. 구체 구현은 팀 합의.</x:t>
  </x:si>
  <x:si>
    <x:t xml:space="preserve">정보 관리·평가</x:t>
  </x:si>
  <x:si>
    <x:t xml:space="preserve">최소 정보 수정과 화면 반영</x:t>
  </x:si>
  <x:si>
    <x:t xml:space="preserve">보완</x:t>
  </x:si>
  <x:si>
    <x:t xml:space="preserve">개발 B 저장 / 개발 A 화면</x:t>
  </x:si>
  <x:si>
    <x:t xml:space="preserve">원항목: REQ-F-003
 신규 대형 관리자 시스템은 범위에 포함하지 않음.</x:t>
  </x:si>
  <x:si>
    <x:t xml:space="preserve">Opik 기록과 공통 질문 평가</x:t>
  </x:si>
  <x:si>
    <x:t xml:space="preserve">개발 B 연동 / 분석·PM 평가</x:t>
  </x:si>
  <x:si>
    <x:t xml:space="preserve">원항목: REQ-N-001~002
 별도 평가 대시보드는 만들지 않고 Opik과 분석 결과표 활용.</x:t>
  </x:si>
  <x:si>
    <x:t xml:space="preserve">후속 범위</x:t>
  </x:si>
  <x:si>
    <x:t xml:space="preserve">GZ-FUT-001</x:t>
  </x:si>
  <x:si>
    <x:t xml:space="preserve">후속</x:t>
  </x:si>
  <x:si>
    <x:t xml:space="preserve">후순위</x:t>
  </x:si>
  <x:si>
    <x:t xml:space="preserve">팀 협의</x:t>
  </x:si>
  <x:si>
    <x:t xml:space="preserve">사용자 요청 반영</x:t>
  </x:si>
  <x:si>
    <x:t xml:space="preserve">GZ-FUT-002</x:t>
  </x:si>
  <x:si>
    <x:t xml:space="preserve">차량 감지·자동단속</x:t>
  </x:si>
  <x:si>
    <x:t xml:space="preserve">차량 점유·번호판 인식·기관 단속 연계는 이번 5일 완료선에서 제외한다.</x:t>
  </x:si>
  <x:si>
    <x:t xml:space="preserve">차량 접근·작업 조건의 자료 분석은 유지</x:t>
  </x:si>
  <x:si>
    <x:t xml:space="preserve">GZ-FUT-003</x:t>
  </x:si>
  <x:si>
    <x:t xml:space="preserve">실시간 추적·추가 확장</x:t>
  </x:si>
  <x:si>
    <x:t xml:space="preserve">GPS 실시간 운행, 현장 관제·설비 제어, 전국 구축과 파인튜닝은 후속 검토한다.</x:t>
  </x:si>
  <x:si>
    <x:t xml:space="preserve">추가 기능은 별도 일정·자료·권한 확인</x:t>
  </x:si>
  <x:si>
    <x:t xml:space="preserve">5일 작업계획</x:t>
  </x:si>
  <x:si>
    <x:t xml:space="preserve">날짜</x:t>
  </x:si>
  <x:si>
    <x:t xml:space="preserve">분석과 PM</x:t>
  </x:si>
  <x:si>
    <x:t xml:space="preserve">개발 A와 개발 B</x:t>
  </x:si>
  <x:si>
    <x:t xml:space="preserve">공통 완료선과 전달물</x:t>
  </x:si>
  <x:si>
    <x:t xml:space="preserve">1일차
 분석: 분류·출처·후보 자료 검수
 PM: 역할·요구사항·전달 형식 합의</x:t>
  </x:si>
  <x:si>
    <x:t xml:space="preserve">개발 A: 프리뷰 실행·단일 안내 화면 범위 확정
 개발 B: API·DB·모델 접근 확인, 예시 데이터 연결</x:t>
  </x:si>
  <x:si>
    <x:t xml:space="preserve">역할·주제·요구사항 초안
 분석 파일의 필드·ID·단위 합의</x:t>
  </x:si>
  <x:si>
    <x:t xml:space="preserve">2일차
 분석: 후보 검토와 제외·미확인 사유
 PM: 공식 품목·문서·출처 정리 지원</x:t>
  </x:si>
  <x:si>
    <x:t xml:space="preserve">개발 A: 건물 검색·지도·후보 상태 표시
 개발 B: 공식 DB·문서 색인·RAG 기본 연결</x:t>
  </x:si>
  <x:si>
    <x:t xml:space="preserve">후보 검토표와 출처 자료
 예시 분석 파일로 검색·조회</x:t>
  </x:si>
  <x:si>
    <x:t xml:space="preserve">그린존 구현 현황과 남은 순서</x:t>
  </x:si>
  <x:si>
    <x:t xml:space="preserve">기준</x:t>
  </x:si>
  <x:si>
    <x:t xml:space="preserve">대상</x:t>
  </x:si>
  <x:si>
    <x:t xml:space="preserve">Git 코드</x:t>
  </x:si>
  <x:si>
    <x:t xml:space="preserve">Git 자료</x:t>
  </x:si>
  <x:si>
    <x:t xml:space="preserve">로컬/일부</x:t>
  </x:si>
  <x:si>
    <x:t xml:space="preserve">미연결/검증</x:t>
  </x:si>
  <x:si>
    <x:t xml:space="preserve">판정</x:t>
  </x:si>
  <x:si>
    <x:t xml:space="preserve">실동작 확인</x:t>
  </x:si>
  <x:si>
    <x:t xml:space="preserve">완료선</x:t>
  </x:si>
  <x:si>
    <x:t xml:space="preserve">요구사항</x:t>
  </x:si>
  <x:si>
    <x:t xml:space="preserve">기능·산출물</x:t>
  </x:si>
  <x:si>
    <x:t xml:space="preserve">확인된 위치</x:t>
  </x:si>
  <x:si>
    <x:t xml:space="preserve">다음 완료 조건</x:t>
  </x:si>
  <x:si>
    <x:t xml:space="preserve">담당 역할</x:t>
  </x:si>
  <x:si>
    <x:t xml:space="preserve">먼저 받을 것</x:t>
  </x:si>
  <x:si>
    <x:t xml:space="preserve">목표일</x:t>
  </x:si>
  <x:si>
    <x:t xml:space="preserve">5일 내</x:t>
  </x:si>
  <x:si>
    <x:t xml:space="preserve">확인 근거</x:t>
  </x:si>
  <x:si>
    <x:t xml:space="preserve">신월1동 주거 수요·배출량</x:t>
  </x:si>
  <x:si>
    <x:t xml:space="preserve">거점안·도로·보호시설</x:t>
  </x:si>
  <x:si>
    <x:t xml:space="preserve">보유 주소·건물명 검색</x:t>
  </x:si>
  <x:si>
    <x:t xml:space="preserve">생활권·담당 거점 안내</x:t>
  </x:si>
  <x:si>
    <x:t xml:space="preserve">카카오·분석 지도</x:t>
  </x:si>
  <x:si>
    <x:t xml:space="preserve">추가 기능</x:t>
  </x:si>
  <x:si>
    <x:t xml:space="preserve">수거 순서·경로안</x:t>
  </x:si>
  <x:si>
    <x:t xml:space="preserve">사진 업로드·수동 안내</x:t>
  </x:si>
  <x:si>
    <x:t xml:space="preserve">사진 품목 자동 후보</x:t>
  </x:si>
  <x:si>
    <x:t xml:space="preserve">공식 품목·법령 근거</x:t>
  </x:si>
  <x:si>
    <x:t xml:space="preserve">검색+LLM 근거 답변</x:t>
  </x:si>
  <x:si>
    <x:t xml:space="preserve">관리자 기능</x:t>
  </x:si>
  <x:si>
    <x:t xml:space="preserve">규칙·문서 수정과 이력</x:t>
  </x:si>
  <x:si>
    <x:t xml:space="preserve">검색·사진 개인정보</x:t>
  </x:si>
  <x:si>
    <x:t xml:space="preserve">제안과 승인 구분</x:t>
  </x:si>
  <x:si>
    <x:t xml:space="preserve">통합 확인</x:t>
  </x:si>
  <x:si>
    <x:t xml:space="preserve">팀 PC 전체 흐름</x:t>
  </x:si>
  <x:si>
    <x:t xml:space="preserve">이번 5일 안에 완료로 잡지 않는 원안</x:t>
  </x:si>
  <x:si>
    <x:t xml:space="preserve">작업</x:t>
  </x:si>
  <x:si>
    <x:t xml:space="preserve">이번 일정에서 제외하는 이유</x:t>
  </x:si>
  <x:si>
    <x:t xml:space="preserve">차량 점유·넘침 영상 관제</x:t>
  </x:si>
  <x:si>
    <x:t xml:space="preserve">REQ-AI-001/002, UI-002</x:t>
  </x:si>
  <x:si>
    <x:t xml:space="preserve">영상 장비·라벨·실시간 운영 체계가 없다. 이번에는 정지 가구 사진만 다룬다.</x:t>
  </x:si>
  <x:si>
    <x:t xml:space="preserve">현장 안전 확정·부지 승인</x:t>
  </x:si>
  <x:si>
    <x:t xml:space="preserve">REQ-DA-002 원안 일부</x:t>
  </x:si>
  <x:si>
    <x:t xml:space="preserve">유효 도로폭, 차량 정차·출차, 보행 연속성, 소유·관리 동의는 현장/행정 확인이 필요하다.</x:t>
  </x:si>
  <x:si>
    <x:t xml:space="preserve">YOLO 직접 학습·대규모 평가</x:t>
  </x:si>
  <x:si>
    <x:t xml:space="preserve">REQ-AI-003 원안 일부</x:t>
  </x:si>
  <x:si>
    <x:t xml:space="preserve">전국 확장·완전자동 주소·실운영 배포</x:t>
  </x:si>
  <x:si>
    <x:t xml:space="preserve">확장 과제</x:t>
  </x:si>
  <x:si>
    <x:t xml:space="preserve">신월1동 한정 시연이며 외부 주소망, Docker/AWS 운영, 예약·결제는 이번 제출 범위가 아니다.</x:t>
  </x:si>
  <x:si>
    <x:t xml:space="preserve">판정 기준</x:t>
  </x:si>
  <x:si>
    <x:t xml:space="preserve">출처</x:t>
  </x:si>
</x:sst>
</file>

<file path=xl/styles.xml><?xml version="1.0" encoding="utf-8"?>
<x:styleSheet xmlns:x="http://schemas.openxmlformats.org/spreadsheetml/2006/main">
  <x:numFmts count="5">
    <x:numFmt numFmtId="164" formatCode="yyyy-mm-dd"/>
    <x:numFmt numFmtId="165" formatCode="m-d h:mm"/>
    <x:numFmt numFmtId="166" formatCode="m-d"/>
    <x:numFmt numFmtId="200" formatCode="0"/>
    <x:numFmt numFmtId="201" formatCode="@"/>
  </x:numFmts>
  <x:fonts count="39">
    <x:font>
      <x:sz val="11"/>
      <x:color theme="1"/>
      <x:name val="Carlito"/>
      <x:scheme val="minor"/>
    </x:font>
    <x:font>
      <x:color theme="1"/>
      <x:name val="Arial"/>
    </x:font>
    <x:font>
      <x:sz val="11"/>
      <x:color rgb="FF293B45"/>
      <x:name val="&quot;Malgun Gothic&quot;"/>
    </x:font>
    <x:font>
      <x:b/>
      <x:sz val="13"/>
      <x:color rgb="FF365A52"/>
      <x:name val="Malgun Gothic"/>
    </x:font>
    <x:font>
      <x:b/>
      <x:sz val="14"/>
      <x:color rgb="FF1B6B4A"/>
      <x:name val="&quot;Noto Sans CJK SC&quot;"/>
    </x:font>
    <x:font>
      <x:sz val="11"/>
      <x:color rgb="FF365A52"/>
      <x:name val="Malgun Gothic"/>
    </x:font>
    <x:font>
      <x:sz val="11"/>
      <x:color rgb="FF000000"/>
      <x:name val="Calibri"/>
    </x:font>
    <x:font>
      <x:b/>
      <x:sz val="11"/>
      <x:color rgb="FF293B45"/>
      <x:name val="&quot;Malgun Gothic&quot;"/>
    </x:font>
    <x:font>
      <x:b/>
      <x:sz val="11"/>
      <x:color rgb="FF365A52"/>
      <x:name val="Malgun Gothic"/>
    </x:font>
    <x:font>
      <x:b/>
      <x:sz val="16"/>
      <x:color theme="1"/>
      <x:name val="Malgun Gothic"/>
    </x:font>
    <x:font>
      <x:sz val="11"/>
      <x:color rgb="FF293B45"/>
      <x:name val="Malgun Gothic"/>
    </x:font>
    <x:font>
      <x:sz val="12"/>
      <x:color rgb="FF000000"/>
      <x:name val="Calibri"/>
    </x:font>
    <x:font>
      <x:b/>
      <x:sz val="11"/>
      <x:color rgb="FFFFFFFF"/>
      <x:name val="Malgun Gothic"/>
    </x:font>
    <x:font>
      <x:sz val="12"/>
      <x:color theme="1"/>
      <x:name val="Carlito"/>
      <x:scheme val="minor"/>
    </x:font>
    <x:font>
      <x:color rgb="FF293B45"/>
      <x:name val="Malgun Gothic"/>
    </x:font>
    <x:font>
      <x:sz val="10"/>
      <x:color theme="1"/>
      <x:name val="Malgun Gothic"/>
    </x:font>
    <x:font>
      <x:b/>
      <x:sz val="12"/>
      <x:color rgb="FFFFFFFF"/>
      <x:name val="&quot;Noto Sans CJK SC&quot;"/>
    </x:font>
    <x:font>
      <x:b/>
      <x:sz val="10"/>
      <x:color theme="1"/>
      <x:name val="Malgun Gothic"/>
    </x:font>
    <x:font>
      <x:b/>
      <x:sz val="11"/>
      <x:color rgb="FF293B45"/>
      <x:name val="Malgun Gothic"/>
    </x:font>
    <x:font>
      <x:color theme="1"/>
      <x:name val="Carlito"/>
      <x:scheme val="minor"/>
    </x:font>
    <x:font>
      <x:sz val="12"/>
      <x:color theme="1"/>
      <x:name val="&quot;맑은 고딕&quot;"/>
    </x:font>
    <x:font>
      <x:sz val="12"/>
      <x:color theme="1"/>
      <x:name val="&quot;Noto Sans CJK SC&quot;"/>
    </x:font>
    <x:font/>
    <x:font>
      <x:sz val="12"/>
      <x:color theme="1"/>
      <x:name val="Arial"/>
    </x:font>
    <x:font>
      <x:sz val="11"/>
      <x:color rgb="FF59656B"/>
      <x:name val="Malgun Gothic"/>
    </x:font>
    <x:font>
      <x:b/>
      <x:sz val="16"/>
      <x:color theme="1"/>
      <x:name val="&quot;맑은 고딕&quot;"/>
    </x:font>
    <x:font>
      <x:sz val="11"/>
      <x:color rgb="FF000000"/>
      <x:name val="&quot;맑은 고딕&quot;"/>
    </x:font>
    <x:font>
      <x:b/>
      <x:sz val="11"/>
      <x:color theme="1"/>
      <x:name val="&quot;맑은 고딕&quot;"/>
    </x:font>
    <x:font>
      <x:color theme="1"/>
      <x:name val="&quot;맑은 고딕&quot;"/>
    </x:font>
    <x:font>
      <x:b/>
      <x:sz val="12"/>
      <x:color theme="1"/>
      <x:name val="Carlito"/>
      <x:scheme val="minor"/>
    </x:font>
    <x:font>
      <x:b/>
      <x:sz val="11"/>
      <x:color rgb="FFFFFFFF"/>
      <x:name val="Arial"/>
    </x:font>
    <x:font>
      <x:b/>
      <x:sz val="11"/>
      <x:color rgb="FFFFFFFF"/>
      <x:name val="&quot;Noto Sans CJK SC&quot;"/>
    </x:font>
    <x:font>
      <x:color theme="1"/>
      <x:name val="&quot;Noto Sans CJK SC&quot;"/>
    </x:font>
    <x:font>
      <x:b/>
      <x:color theme="1"/>
      <x:name val="Carlito"/>
      <x:scheme val="minor"/>
    </x:font>
    <x:font>
      <x:b/>
      <x:sz val="15"/>
      <x:color rgb="FF203F48"/>
      <x:name val="Arial"/>
    </x:font>
    <x:font>
      <x:sz val="10"/>
      <x:color rgb="FF243840"/>
      <x:name val="Arial"/>
    </x:font>
    <x:font>
      <x:b/>
      <x:sz val="10"/>
      <x:color rgb="FF274B44"/>
      <x:name val="Arial"/>
    </x:font>
    <x:font>
      <x:b/>
      <x:sz val="10"/>
      <x:color rgb="FFFFFFFF"/>
      <x:name val="Arial"/>
    </x:font>
    <x:font>
      <x:b/>
      <x:sz val="13"/>
      <x:color rgb="FF203F48"/>
      <x:name val="Arial"/>
    </x:font>
  </x:fonts>
  <x:fills count="30">
    <x:fill>
      <x:patternFill patternType="none"/>
    </x:fill>
    <x:fill>
      <x:patternFill patternType="lightGray"/>
    </x:fill>
    <x:fill>
      <x:patternFill patternType="solid">
        <x:fgColor rgb="FFFFFFFF"/>
      </x:patternFill>
    </x:fill>
    <x:fill>
      <x:patternFill patternType="solid">
        <x:fgColor theme="0"/>
      </x:patternFill>
    </x:fill>
    <x:fill>
      <x:patternFill patternType="solid">
        <x:fgColor rgb="FFF3F4F5"/>
      </x:patternFill>
    </x:fill>
    <x:fill>
      <x:patternFill patternType="solid">
        <x:fgColor rgb="FFE8EEEC"/>
      </x:patternFill>
    </x:fill>
    <x:fill>
      <x:patternFill patternType="solid">
        <x:fgColor rgb="FF262626"/>
      </x:patternFill>
    </x:fill>
    <x:fill>
      <x:patternFill patternType="solid">
        <x:fgColor rgb="FFFFF8E6"/>
      </x:patternFill>
    </x:fill>
    <x:fill>
      <x:patternFill patternType="solid">
        <x:fgColor rgb="FF1B6B4A"/>
      </x:patternFill>
    </x:fill>
    <x:fill>
      <x:patternFill patternType="solid">
        <x:fgColor rgb="FFF2F5F9"/>
      </x:patternFill>
    </x:fill>
    <x:fill>
      <x:patternFill patternType="solid">
        <x:fgColor rgb="FFF2EFF8"/>
      </x:patternFill>
    </x:fill>
    <x:fill>
      <x:patternFill patternType="solid">
        <x:fgColor rgb="FFEDF5EE"/>
      </x:patternFill>
    </x:fill>
    <x:fill>
      <x:patternFill patternType="solid">
        <x:fgColor rgb="FFFCE5CD"/>
      </x:patternFill>
    </x:fill>
    <x:fill>
      <x:patternFill patternType="solid">
        <x:fgColor rgb="FFEDF3FA"/>
      </x:patternFill>
    </x:fill>
    <x:fill>
      <x:patternFill patternType="solid">
        <x:fgColor rgb="FFFAFBFA"/>
      </x:patternFill>
    </x:fill>
    <x:fill>
      <x:patternFill patternType="solid">
        <x:fgColor rgb="FFF7FAF8"/>
      </x:patternFill>
    </x:fill>
    <x:fill>
      <x:patternFill patternType="solid">
        <x:fgColor rgb="FF00FFFF"/>
      </x:patternFill>
    </x:fill>
    <x:fill>
      <x:patternFill patternType="solid">
        <x:fgColor rgb="FFDAEADC"/>
      </x:patternFill>
    </x:fill>
    <x:fill>
      <x:patternFill patternType="solid">
        <x:fgColor rgb="FFDDE8F4"/>
      </x:patternFill>
    </x:fill>
    <x:fill>
      <x:patternFill patternType="solid">
        <x:fgColor rgb="FFE7E0F1"/>
      </x:patternFill>
    </x:fill>
    <x:fill>
      <x:patternFill patternType="solid">
        <x:fgColor rgb="FFD9E1F2"/>
      </x:patternFill>
    </x:fill>
    <x:fill>
      <x:patternFill patternType="solid">
        <x:fgColor rgb="FFFFF2CC"/>
      </x:patternFill>
    </x:fill>
    <x:fill>
      <x:patternFill patternType="solid">
        <x:fgColor rgb="FF1F3A2E"/>
      </x:patternFill>
    </x:fill>
    <x:fill>
      <x:patternFill patternType="solid">
        <x:fgColor rgb="FFDFEDFB"/>
      </x:patternFill>
    </x:fill>
    <x:fill>
      <x:patternFill patternType="solid">
        <x:fgColor rgb="FFE8F0ED"/>
      </x:patternFill>
    </x:fill>
    <x:fill>
      <x:patternFill patternType="solid">
        <x:fgColor rgb="FF385862"/>
      </x:patternFill>
    </x:fill>
    <x:fill>
      <x:patternFill patternType="solid">
        <x:fgColor rgb="FFF5F8F7"/>
      </x:patternFill>
    </x:fill>
    <x:fill>
      <x:patternFill patternType="solid">
        <x:fgColor rgb="FF527268"/>
      </x:patternFill>
    </x:fill>
    <x:fill>
      <x:patternFill patternType="solid">
        <x:fgColor rgb="FF6C7375"/>
      </x:patternFill>
    </x:fill>
    <x:fill>
      <x:patternFill patternType="solid">
        <x:fgColor rgb="FFF4F7F6"/>
      </x:patternFill>
    </x:fill>
  </x:fills>
  <x:borders count="17">
    <x:border/>
    <x:border>
      <x:left style="thin">
        <x:color rgb="FF44B3E1"/>
      </x:left>
      <x:top style="thin">
        <x:color rgb="FF44B3E1"/>
      </x:top>
      <x:bottom style="thin">
        <x:color rgb="FFDBE3DF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top style="thin">
        <x:color rgb="FF44B3E1"/>
      </x:top>
      <x:bottom style="thin">
        <x:color rgb="FFDBE3DF"/>
      </x:bottom>
    </x:border>
    <x:border>
      <x:right style="thin">
        <x:color rgb="FF44B3E1"/>
      </x:right>
      <x:top style="thin">
        <x:color rgb="FF44B3E1"/>
      </x:top>
      <x:bottom style="thin">
        <x:color rgb="FFDBE3DF"/>
      </x:bottom>
    </x:border>
    <x:border>
      <x:left style="thin">
        <x:color rgb="FFC9D6CF"/>
      </x:left>
      <x:right style="thin">
        <x:color rgb="FFC9D6CF"/>
      </x:right>
      <x:top style="thin">
        <x:color rgb="FFC9D6CF"/>
      </x:top>
      <x:bottom style="thin">
        <x:color rgb="FFC9D6CF"/>
      </x:bottom>
    </x:border>
    <x:border>
      <x:bottom style="thin">
        <x:color rgb="FFDBE3DF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44B3E1"/>
      </x:left>
      <x:top style="thin">
        <x:color rgb="FFB7C8BF"/>
      </x:top>
      <x:bottom style="thin">
        <x:color rgb="FFDBE3DF"/>
      </x:bottom>
    </x:border>
    <x:border>
      <x:bottom style="thin">
        <x:color rgb="FFD9E1E8"/>
      </x:bottom>
    </x:border>
    <x:border>
      <x:top style="thin">
        <x:color rgb="FFB7C8BF"/>
      </x:top>
      <x:bottom style="thin">
        <x:color rgb="FFDBE3DF"/>
      </x:bottom>
    </x:border>
    <x:border>
      <x:right style="thin">
        <x:color rgb="FF44B3E1"/>
      </x:right>
      <x:top style="thin">
        <x:color rgb="FFB7C8BF"/>
      </x:top>
      <x:bottom style="thin">
        <x:color rgb="FFDBE3DF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left style="thin">
        <x:color rgb="FF999999"/>
      </x:left>
      <x:right style="thin">
        <x:color rgb="FF999999"/>
      </x:right>
      <x:top style="thin">
        <x:color rgb="FF999999"/>
      </x:top>
      <x:bottom style="thin">
        <x:color rgb="FF999999"/>
      </x:bottom>
    </x:border>
    <x:border>
      <x:left/>
      <x:right/>
      <x:top/>
      <x:bottom/>
    </x:border>
  </x:borders>
  <x:cellStyleXfs count="1">
    <x:xf numFmtId="0" fontId="0" fillId="0" borderId="0" applyFont="1" applyAlignment="1"/>
  </x:cellStyleXfs>
  <x:cellXfs count="158">
    <x:xf numFmtId="0" fontId="0" fillId="0" borderId="0" xfId="0" applyFont="1" applyAlignment="1">
      <x:alignment vertical="bottom" wrapText="0" shrinkToFit="0"/>
    </x:xf>
    <x:xf numFmtId="0" fontId="1" fillId="2" borderId="0" xfId="0" applyFont="1" applyFill="1" applyAlignment="1">
      <x:alignment vertical="bottom"/>
    </x:xf>
    <x:xf numFmtId="0" fontId="2" fillId="3" borderId="0" xfId="0" applyFont="1" applyFill="1"/>
    <x:xf numFmtId="0" fontId="2" fillId="2" borderId="0" xfId="0" applyFont="1" applyFill="1"/>
    <x:xf numFmtId="0" fontId="3" fillId="2" borderId="0" xfId="0" applyFont="1" applyFill="1" applyAlignment="1">
      <x:alignment vertical="bottom" wrapText="1" shrinkToFit="0"/>
    </x:xf>
    <x:xf numFmtId="0" fontId="4" fillId="0" borderId="0" xfId="0" applyFont="1" applyAlignment="1">
      <x:alignment vertical="bottom" wrapText="0" shrinkToFit="0"/>
    </x:xf>
    <x:xf numFmtId="0" fontId="5" fillId="2" borderId="0" xfId="0" applyFont="1" applyFill="1" applyAlignment="1">
      <x:alignment vertical="bottom" wrapText="1" shrinkToFit="0"/>
    </x:xf>
    <x:xf numFmtId="0" fontId="6" fillId="0" borderId="0" xfId="0" applyFont="1" applyAlignment="1">
      <x:alignment vertical="bottom" wrapText="0" shrinkToFit="0"/>
    </x:xf>
    <x:xf numFmtId="0" fontId="7" fillId="3" borderId="0" xfId="0" applyFont="1" applyFill="1" applyAlignment="1">
      <x:alignment horizontal="center"/>
    </x:xf>
    <x:xf numFmtId="9" fontId="8" fillId="4" borderId="0" xfId="0" applyNumberFormat="1" applyFont="1" applyFill="1" applyAlignment="1">
      <x:alignment horizontal="right" vertical="bottom" wrapText="1" shrinkToFit="0"/>
    </x:xf>
    <x:xf numFmtId="0" fontId="9" fillId="0" borderId="0" xfId="0" applyFont="1" applyAlignment="1">
      <x:alignment vertical="center"/>
    </x:xf>
    <x:xf numFmtId="0" fontId="10" fillId="2" borderId="0" xfId="0" applyFont="1" applyFill="1" applyAlignment="1">
      <x:alignment vertical="bottom" wrapText="1" shrinkToFit="0"/>
    </x:xf>
    <x:xf numFmtId="0" fontId="7" fillId="5" borderId="1" xfId="0" applyFont="1" applyFill="1" applyBorder="1" applyAlignment="1">
      <x:alignment horizontal="center"/>
    </x:xf>
    <x:xf numFmtId="0" fontId="11" fillId="0" borderId="0" xfId="0" applyFont="1" applyAlignment="1">
      <x:alignment vertical="bottom" wrapText="0" shrinkToFit="0"/>
    </x:xf>
    <x:xf numFmtId="0" fontId="12" fillId="6" borderId="2" xfId="0" applyFont="1" applyFill="1" applyBorder="1" applyAlignment="1">
      <x:alignment horizontal="center" vertical="center" wrapText="1" shrinkToFit="0"/>
    </x:xf>
    <x:xf numFmtId="0" fontId="7" fillId="5" borderId="3" xfId="0" applyFont="1" applyFill="1" applyBorder="1" applyAlignment="1">
      <x:alignment horizontal="center"/>
    </x:xf>
    <x:xf numFmtId="0" fontId="13" fillId="0" borderId="0" xfId="0" applyFont="1"/>
    <x:xf numFmtId="164" fontId="10" fillId="7" borderId="0" xfId="0" applyNumberFormat="1" applyFont="1" applyFill="1" applyAlignment="1">
      <x:alignment horizontal="right" vertical="bottom" wrapText="1" shrinkToFit="0"/>
    </x:xf>
    <x:xf numFmtId="165" fontId="10" fillId="2" borderId="0" xfId="0" applyNumberFormat="1" applyFont="1" applyFill="1" applyAlignment="1">
      <x:alignment horizontal="right" vertical="bottom" wrapText="1" shrinkToFit="0"/>
    </x:xf>
    <x:xf numFmtId="0" fontId="7" fillId="5" borderId="4" xfId="0" applyFont="1" applyFill="1" applyBorder="1" applyAlignment="1">
      <x:alignment horizontal="center"/>
    </x:xf>
    <x:xf numFmtId="0" fontId="12" fillId="6" borderId="2" xfId="0" applyFont="1" applyFill="1" applyBorder="1" applyAlignment="1">
      <x:alignment horizontal="center" vertical="center" wrapText="1" shrinkToFit="0"/>
    </x:xf>
    <x:xf numFmtId="0" fontId="2" fillId="3" borderId="0" xfId="0" applyFont="1" applyFill="1" applyAlignment="1">
      <x:alignment horizontal="center"/>
    </x:xf>
    <x:xf numFmtId="0" fontId="14" fillId="2" borderId="0" xfId="0" applyFont="1" applyFill="1" applyAlignment="1">
      <x:alignment vertical="bottom" wrapText="1" shrinkToFit="0"/>
    </x:xf>
    <x:xf numFmtId="0" fontId="15" fillId="9" borderId="2" xfId="0" applyFont="1" applyFill="1" applyBorder="1" applyAlignment="1">
      <x:alignment horizontal="center"/>
    </x:xf>
    <x:xf numFmtId="0" fontId="16" fillId="8" borderId="5" xfId="0" applyFont="1" applyFill="1" applyBorder="1" applyAlignment="1">
      <x:alignment horizontal="center"/>
    </x:xf>
    <x:xf numFmtId="0" fontId="2" fillId="10" borderId="1" xfId="0" applyFont="1" applyFill="1" applyBorder="1" applyAlignment="1">
      <x:alignment horizontal="center"/>
    </x:xf>
    <x:xf numFmtId="0" fontId="17" fillId="9" borderId="2" xfId="0" applyFont="1" applyFill="1" applyBorder="1"/>
    <x:xf numFmtId="0" fontId="18" fillId="5" borderId="6" xfId="0" applyFont="1" applyFill="1" applyBorder="1" applyAlignment="1">
      <x:alignment horizontal="center" vertical="bottom" wrapText="1" shrinkToFit="0"/>
    </x:xf>
    <x:xf numFmtId="166" fontId="2" fillId="2" borderId="3" xfId="0" applyNumberFormat="1" applyFont="1" applyFill="1" applyBorder="1" applyAlignment="1">
      <x:alignment horizontal="center"/>
    </x:xf>
    <x:xf numFmtId="0" fontId="15" fillId="9" borderId="2" xfId="0" applyFont="1" applyFill="1" applyBorder="1" applyAlignment="1">
      <x:alignment wrapText="1" shrinkToFit="0"/>
    </x:xf>
    <x:xf numFmtId="0" fontId="2" fillId="7" borderId="3" xfId="0" applyFont="1" applyFill="1" applyBorder="1" applyAlignment="1">
      <x:alignment horizontal="center"/>
    </x:xf>
    <x:xf numFmtId="0" fontId="10" fillId="11" borderId="6" xfId="0" applyFont="1" applyFill="1" applyBorder="1" applyAlignment="1">
      <x:alignment vertical="bottom" wrapText="1" shrinkToFit="0"/>
    </x:xf>
    <x:xf numFmtId="0" fontId="19" fillId="0" borderId="7" xfId="0" applyFont="1" applyBorder="1" applyAlignment="1"/>
    <x:xf numFmtId="0" fontId="10" fillId="2" borderId="6" xfId="0" applyFont="1" applyFill="1" applyBorder="1" applyAlignment="1">
      <x:alignment vertical="bottom" wrapText="1" shrinkToFit="0"/>
    </x:xf>
    <x:xf numFmtId="0" fontId="19" fillId="12" borderId="0" xfId="0" applyFont="1" applyFill="1" applyAlignment="1"/>
    <x:xf numFmtId="0" fontId="10" fillId="2" borderId="6" xfId="0" applyFont="1" applyFill="1" applyBorder="1" applyAlignment="1">
      <x:alignment horizontal="center" vertical="bottom" wrapText="1" shrinkToFit="0"/>
    </x:xf>
    <x:xf numFmtId="0" fontId="19" fillId="0" borderId="0" xfId="0" applyFont="1" applyAlignment="1"/>
    <x:xf numFmtId="0" fontId="2" fillId="2" borderId="3" xfId="0" applyFont="1" applyFill="1" applyBorder="1" applyAlignment="1">
      <x:alignment horizontal="center"/>
    </x:xf>
    <x:xf numFmtId="0" fontId="20" fillId="0" borderId="5" xfId="0" applyFont="1" applyBorder="1" applyAlignment="1">
      <x:alignment vertical="top" wrapText="1" shrinkToFit="0"/>
    </x:xf>
    <x:xf numFmtId="0" fontId="10" fillId="7" borderId="6" xfId="0" applyFont="1" applyFill="1" applyBorder="1" applyAlignment="1">
      <x:alignment horizontal="center" vertical="bottom" wrapText="1" shrinkToFit="0"/>
    </x:xf>
    <x:xf numFmtId="0" fontId="2" fillId="2" borderId="3" xfId="0" applyFont="1" applyFill="1" applyBorder="1" applyAlignment="1"/>
    <x:xf numFmtId="0" fontId="15" fillId="2" borderId="2" xfId="0" applyFont="1" applyFill="1" applyBorder="1" applyAlignment="1">
      <x:alignment horizontal="center"/>
    </x:xf>
    <x:xf numFmtId="0" fontId="10" fillId="7" borderId="6" xfId="0" applyFont="1" applyFill="1" applyBorder="1" applyAlignment="1">
      <x:alignment vertical="bottom" wrapText="1" shrinkToFit="0"/>
    </x:xf>
    <x:xf numFmtId="0" fontId="21" fillId="0" borderId="5" xfId="0" applyFont="1" applyBorder="1" applyAlignment="1">
      <x:alignment vertical="top" wrapText="1" shrinkToFit="0"/>
    </x:xf>
    <x:xf numFmtId="0" fontId="17" fillId="2" borderId="2" xfId="0" applyFont="1" applyFill="1" applyBorder="1"/>
    <x:xf numFmtId="0" fontId="10" fillId="13" borderId="6" xfId="0" applyFont="1" applyFill="1" applyBorder="1" applyAlignment="1">
      <x:alignment vertical="bottom" wrapText="1" shrinkToFit="0"/>
    </x:xf>
    <x:xf numFmtId="0" fontId="2" fillId="7" borderId="4" xfId="0" applyFont="1" applyFill="1" applyBorder="1"/>
    <x:xf numFmtId="0" fontId="15" fillId="2" borderId="2" xfId="0" applyFont="1" applyFill="1" applyBorder="1" applyAlignment="1">
      <x:alignment wrapText="1" shrinkToFit="0"/>
    </x:xf>
    <x:xf numFmtId="0" fontId="10" fillId="14" borderId="6" xfId="0" applyFont="1" applyFill="1" applyBorder="1" applyAlignment="1">
      <x:alignment vertical="bottom" wrapText="1" shrinkToFit="0"/>
    </x:xf>
    <x:xf numFmtId="0" fontId="20" fillId="0" borderId="5" xfId="0" applyFont="1" applyBorder="1" applyAlignment="1">
      <x:alignment horizontal="left" vertical="top" wrapText="1" shrinkToFit="0"/>
    </x:xf>
    <x:xf numFmtId="0" fontId="10" fillId="14" borderId="6" xfId="0" applyFont="1" applyFill="1" applyBorder="1" applyAlignment="1">
      <x:alignment horizontal="center" vertical="bottom" wrapText="1" shrinkToFit="0"/>
    </x:xf>
    <x:xf numFmtId="0" fontId="2" fillId="11" borderId="1" xfId="0" applyFont="1" applyFill="1" applyBorder="1" applyAlignment="1">
      <x:alignment horizontal="center"/>
    </x:xf>
    <x:xf numFmtId="0" fontId="22" fillId="0" borderId="8" xfId="0" applyFont="1" applyBorder="1"/>
    <x:xf numFmtId="166" fontId="2" fillId="14" borderId="3" xfId="0" applyNumberFormat="1" applyFont="1" applyFill="1" applyBorder="1" applyAlignment="1">
      <x:alignment horizontal="center"/>
    </x:xf>
    <x:xf numFmtId="0" fontId="15" fillId="2" borderId="2" xfId="0" applyFont="1" applyFill="1" applyBorder="1" applyAlignment="1">
      <x:alignment horizontal="center" vertical="center"/>
    </x:xf>
    <x:xf numFmtId="0" fontId="2" fillId="14" borderId="3" xfId="0" applyFont="1" applyFill="1" applyBorder="1" applyAlignment="1">
      <x:alignment horizontal="center"/>
    </x:xf>
    <x:xf numFmtId="0" fontId="17" fillId="2" borderId="2" xfId="0" applyFont="1" applyFill="1" applyBorder="1" applyAlignment="1">
      <x:alignment horizontal="left" vertical="center"/>
    </x:xf>
    <x:xf numFmtId="0" fontId="2" fillId="14" borderId="3" xfId="0" applyFont="1" applyFill="1" applyBorder="1" applyAlignment="1"/>
    <x:xf numFmtId="0" fontId="10" fillId="10" borderId="6" xfId="0" applyFont="1" applyFill="1" applyBorder="1" applyAlignment="1">
      <x:alignment vertical="bottom" wrapText="1" shrinkToFit="0"/>
    </x:xf>
    <x:xf numFmtId="0" fontId="20" fillId="15" borderId="5" xfId="0" applyFont="1" applyFill="1" applyBorder="1" applyAlignment="1">
      <x:alignment vertical="top" wrapText="1" shrinkToFit="0"/>
    </x:xf>
    <x:xf numFmtId="0" fontId="2" fillId="13" borderId="1" xfId="0" applyFont="1" applyFill="1" applyBorder="1" applyAlignment="1">
      <x:alignment horizontal="center"/>
    </x:xf>
    <x:xf numFmtId="0" fontId="21" fillId="15" borderId="5" xfId="0" applyFont="1" applyFill="1" applyBorder="1" applyAlignment="1">
      <x:alignment vertical="top" wrapText="1" shrinkToFit="0"/>
    </x:xf>
    <x:xf numFmtId="0" fontId="15" fillId="2" borderId="2" xfId="0" applyFont="1" applyFill="1" applyBorder="1" applyAlignment="1">
      <x:alignment horizontal="left" vertical="center" wrapText="1" shrinkToFit="0"/>
    </x:xf>
    <x:xf numFmtId="0" fontId="19" fillId="0" borderId="2" xfId="0" applyFont="1" applyBorder="1" applyAlignment="1"/>
    <x:xf numFmtId="0" fontId="23" fillId="15" borderId="5" xfId="0" applyFont="1" applyFill="1" applyBorder="1" applyAlignment="1">
      <x:alignment vertical="top" wrapText="1" shrinkToFit="0"/>
    </x:xf>
    <x:xf numFmtId="0" fontId="2" fillId="10" borderId="9" xfId="0" applyFont="1" applyFill="1" applyBorder="1" applyAlignment="1">
      <x:alignment horizontal="center"/>
    </x:xf>
    <x:xf numFmtId="0" fontId="20" fillId="15" borderId="5" xfId="0" applyFont="1" applyFill="1" applyBorder="1" applyAlignment="1">
      <x:alignment horizontal="left" vertical="top" wrapText="1" shrinkToFit="0"/>
    </x:xf>
    <x:xf numFmtId="0" fontId="24" fillId="4" borderId="10" xfId="0" applyFont="1" applyFill="1" applyBorder="1" applyAlignment="1">
      <x:alignment vertical="bottom" wrapText="1" shrinkToFit="0"/>
    </x:xf>
    <x:xf numFmtId="166" fontId="2" fillId="2" borderId="11" xfId="0" applyNumberFormat="1" applyFont="1" applyFill="1" applyBorder="1" applyAlignment="1">
      <x:alignment horizontal="center"/>
    </x:xf>
    <x:xf numFmtId="0" fontId="24" fillId="4" borderId="10" xfId="0" applyFont="1" applyFill="1" applyBorder="1" applyAlignment="1">
      <x:alignment horizontal="center" vertical="bottom" wrapText="1" shrinkToFit="0"/>
    </x:xf>
    <x:xf numFmtId="0" fontId="2" fillId="7" borderId="11" xfId="0" applyFont="1" applyFill="1" applyBorder="1" applyAlignment="1">
      <x:alignment horizontal="center"/>
    </x:xf>
    <x:xf numFmtId="0" fontId="15" fillId="9" borderId="2" xfId="0" applyFont="1" applyFill="1" applyBorder="1" applyAlignment="1">
      <x:alignment horizontal="center" vertical="center"/>
    </x:xf>
    <x:xf numFmtId="0" fontId="17" fillId="9" borderId="2" xfId="0" applyFont="1" applyFill="1" applyBorder="1" applyAlignment="1">
      <x:alignment horizontal="left" vertical="center"/>
    </x:xf>
    <x:xf numFmtId="0" fontId="2" fillId="2" borderId="11" xfId="0" applyFont="1" applyFill="1" applyBorder="1" applyAlignment="1">
      <x:alignment horizontal="center"/>
    </x:xf>
    <x:xf numFmtId="0" fontId="2" fillId="2" borderId="11" xfId="0" applyFont="1" applyFill="1" applyBorder="1" applyAlignment="1"/>
    <x:xf numFmtId="0" fontId="23" fillId="0" borderId="5" xfId="0" applyFont="1" applyBorder="1" applyAlignment="1">
      <x:alignment vertical="top" wrapText="1" shrinkToFit="0"/>
    </x:xf>
    <x:xf numFmtId="0" fontId="15" fillId="9" borderId="2" xfId="0" applyFont="1" applyFill="1" applyBorder="1" applyAlignment="1">
      <x:alignment horizontal="left" vertical="center" wrapText="1" shrinkToFit="0"/>
    </x:xf>
    <x:xf numFmtId="0" fontId="2" fillId="7" borderId="12" xfId="0" applyFont="1" applyFill="1" applyBorder="1"/>
    <x:xf numFmtId="0" fontId="19" fillId="16" borderId="0" xfId="0" applyFont="1" applyFill="1" applyAlignment="1"/>
    <x:xf numFmtId="0" fontId="15" fillId="2" borderId="2" xfId="0" applyFont="1" applyFill="1" applyBorder="1" applyAlignment="1">
      <x:alignment horizontal="center" vertical="center"/>
    </x:xf>
    <x:xf numFmtId="0" fontId="18" fillId="17" borderId="6" xfId="0" applyFont="1" applyFill="1" applyBorder="1" applyAlignment="1">
      <x:alignment horizontal="center" vertical="bottom" wrapText="1" shrinkToFit="0"/>
    </x:xf>
    <x:xf numFmtId="0" fontId="22" fillId="0" borderId="6" xfId="0" applyFont="1" applyBorder="1"/>
    <x:xf numFmtId="164" fontId="20" fillId="0" borderId="5" xfId="0" applyNumberFormat="1" applyFont="1" applyBorder="1" applyAlignment="1">
      <x:alignment horizontal="left" vertical="top" wrapText="1" shrinkToFit="0"/>
    </x:xf>
    <x:xf numFmtId="0" fontId="15" fillId="9" borderId="2" xfId="0" applyFont="1" applyFill="1" applyBorder="1" applyAlignment="1">
      <x:alignment horizontal="center" vertical="center"/>
    </x:xf>
    <x:xf numFmtId="0" fontId="18" fillId="18" borderId="6" xfId="0" applyFont="1" applyFill="1" applyBorder="1" applyAlignment="1">
      <x:alignment horizontal="center" vertical="bottom" wrapText="1" shrinkToFit="0"/>
    </x:xf>
    <x:xf numFmtId="0" fontId="18" fillId="19" borderId="6" xfId="0" applyFont="1" applyFill="1" applyBorder="1" applyAlignment="1">
      <x:alignment horizontal="center" vertical="bottom" wrapText="1" shrinkToFit="0"/>
    </x:xf>
    <x:xf numFmtId="166" fontId="10" fillId="4" borderId="6" xfId="0" applyNumberFormat="1" applyFont="1" applyFill="1" applyBorder="1" applyAlignment="1">
      <x:alignment horizontal="center" vertical="bottom" wrapText="1" shrinkToFit="0"/>
    </x:xf>
    <x:xf numFmtId="9" fontId="10" fillId="4" borderId="6" xfId="0" applyNumberFormat="1" applyFont="1" applyFill="1" applyBorder="1" applyAlignment="1">
      <x:alignment horizontal="center" vertical="bottom" wrapText="1" shrinkToFit="0"/>
    </x:xf>
    <x:xf numFmtId="0" fontId="19" fillId="0" borderId="2" xfId="0" applyFont="1" applyBorder="1"/>
    <x:xf numFmtId="9" fontId="10" fillId="4" borderId="6" xfId="0" applyNumberFormat="1" applyFont="1" applyFill="1" applyBorder="1" applyAlignment="1">
      <x:alignment horizontal="center" vertical="bottom" wrapText="1" shrinkToFit="0"/>
    </x:xf>
    <x:xf numFmtId="0" fontId="25" fillId="0" borderId="0" xfId="0" applyFont="1" applyAlignment="1">
      <x:alignment horizontal="center" wrapText="0" shrinkToFit="0"/>
    </x:xf>
    <x:xf numFmtId="0" fontId="26" fillId="0" borderId="0" xfId="0" applyFont="1" applyAlignment="1">
      <x:alignment vertical="bottom" wrapText="0" shrinkToFit="0"/>
    </x:xf>
    <x:xf numFmtId="0" fontId="27" fillId="20" borderId="2" xfId="0" applyFont="1" applyFill="1" applyBorder="1" applyAlignment="1">
      <x:alignment horizontal="center" wrapText="0" shrinkToFit="0"/>
    </x:xf>
    <x:xf numFmtId="0" fontId="27" fillId="20" borderId="13" xfId="0" applyFont="1" applyFill="1" applyBorder="1" applyAlignment="1">
      <x:alignment horizontal="center" wrapText="0" shrinkToFit="0"/>
    </x:xf>
    <x:xf numFmtId="0" fontId="28" fillId="0" borderId="7" xfId="0" applyFont="1" applyBorder="1" applyAlignment="1">
      <x:alignment horizontal="center" vertical="center" wrapText="0" shrinkToFit="0"/>
    </x:xf>
    <x:xf numFmtId="0" fontId="29" fillId="3" borderId="0" xfId="0" applyFont="1" applyFill="1" applyAlignment="1"/>
    <x:xf numFmtId="0" fontId="29" fillId="21" borderId="0" xfId="0" applyFont="1" applyFill="1" applyAlignment="1"/>
    <x:xf numFmtId="0" fontId="20" fillId="0" borderId="7" xfId="0" applyFont="1" applyBorder="1" applyAlignment="1">
      <x:alignment horizontal="left" vertical="center" wrapText="0" shrinkToFit="0"/>
    </x:xf>
    <x:xf numFmtId="0" fontId="13" fillId="21" borderId="0" xfId="0" applyFont="1" applyFill="1"/>
    <x:xf numFmtId="0" fontId="20" fillId="0" borderId="2" xfId="0" applyFont="1" applyBorder="1" applyAlignment="1">
      <x:alignment horizontal="left" wrapText="0" shrinkToFit="0"/>
    </x:xf>
    <x:xf numFmtId="0" fontId="19" fillId="3" borderId="0" xfId="0" applyFont="1" applyFill="1"/>
    <x:xf numFmtId="0" fontId="22" fillId="0" borderId="14" xfId="0" applyFont="1" applyBorder="1"/>
    <x:xf numFmtId="164" fontId="20" fillId="15" borderId="5" xfId="0" applyNumberFormat="1" applyFont="1" applyFill="1" applyBorder="1" applyAlignment="1">
      <x:alignment horizontal="left" vertical="top" wrapText="1" shrinkToFit="0"/>
    </x:xf>
    <x:xf numFmtId="0" fontId="30" fillId="3" borderId="0" xfId="0" applyFont="1" applyFill="1" applyAlignment="1">
      <x:alignment horizontal="center"/>
    </x:xf>
    <x:xf numFmtId="0" fontId="30" fillId="22" borderId="15" xfId="0" applyFont="1" applyFill="1" applyBorder="1" applyAlignment="1">
      <x:alignment horizontal="center"/>
    </x:xf>
    <x:xf numFmtId="0" fontId="31" fillId="22" borderId="15" xfId="0" applyFont="1" applyFill="1" applyBorder="1" applyAlignment="1">
      <x:alignment horizontal="center"/>
    </x:xf>
    <x:xf numFmtId="0" fontId="30" fillId="22" borderId="15" xfId="0" applyFont="1" applyFill="1" applyBorder="1" applyAlignment="1">
      <x:alignment horizontal="center"/>
    </x:xf>
    <x:xf numFmtId="0" fontId="1" fillId="3" borderId="0" xfId="0" applyFont="1" applyFill="1" applyAlignment="1">
      <x:alignment horizontal="center"/>
    </x:xf>
    <x:xf numFmtId="0" fontId="1" fillId="0" borderId="15" xfId="0" applyFont="1" applyBorder="1" applyAlignment="1">
      <x:alignment horizontal="center"/>
    </x:xf>
    <x:xf numFmtId="0" fontId="32" fillId="0" borderId="15" xfId="0" applyFont="1" applyBorder="1" applyAlignment="1">
      <x:alignment horizontal="left"/>
    </x:xf>
    <x:xf numFmtId="0" fontId="1" fillId="0" borderId="15" xfId="0" applyFont="1" applyBorder="1" applyAlignment="1">
      <x:alignment horizontal="left"/>
    </x:xf>
    <x:xf numFmtId="9" fontId="1" fillId="21" borderId="15" xfId="0" applyNumberFormat="1" applyFont="1" applyFill="1" applyBorder="1" applyAlignment="1">
      <x:alignment horizontal="center"/>
    </x:xf>
    <x:xf numFmtId="0" fontId="32" fillId="0" borderId="15" xfId="0" applyFont="1" applyBorder="1" applyAlignment="1">
      <x:alignment horizontal="center"/>
    </x:xf>
    <x:xf numFmtId="0" fontId="1" fillId="0" borderId="15" xfId="0" applyFont="1" applyBorder="1" applyAlignment="1">
      <x:alignment horizontal="left"/>
    </x:xf>
    <x:xf numFmtId="0" fontId="1" fillId="0" borderId="15" xfId="0" applyFont="1" applyBorder="1" applyAlignment="1">
      <x:alignment horizontal="center"/>
    </x:xf>
    <x:xf numFmtId="0" fontId="1" fillId="0" borderId="0" xfId="0" applyFont="1" applyAlignment="1">
      <x:alignment horizontal="left"/>
    </x:xf>
    <x:xf numFmtId="0" fontId="20" fillId="0" borderId="5" xfId="0" applyFont="1" applyBorder="1" applyAlignment="1">
      <x:alignment vertical="top"/>
    </x:xf>
    <x:xf numFmtId="0" fontId="23" fillId="0" borderId="5" xfId="0" applyFont="1" applyBorder="1" applyAlignment="1">
      <x:alignment vertical="top"/>
    </x:xf>
    <x:xf numFmtId="0" fontId="21" fillId="0" borderId="5" xfId="0" applyFont="1" applyBorder="1" applyAlignment="1">
      <x:alignment vertical="top"/>
    </x:xf>
    <x:xf numFmtId="0" fontId="20" fillId="0" borderId="5" xfId="0" applyFont="1" applyBorder="1" applyAlignment="1">
      <x:alignment horizontal="left" vertical="top"/>
    </x:xf>
    <x:xf numFmtId="0" fontId="20" fillId="15" borderId="5" xfId="0" applyFont="1" applyFill="1" applyBorder="1" applyAlignment="1">
      <x:alignment vertical="top"/>
    </x:xf>
    <x:xf numFmtId="0" fontId="21" fillId="15" borderId="5" xfId="0" applyFont="1" applyFill="1" applyBorder="1" applyAlignment="1">
      <x:alignment vertical="top"/>
    </x:xf>
    <x:xf numFmtId="164" fontId="20" fillId="15" borderId="5" xfId="0" applyNumberFormat="1" applyFont="1" applyFill="1" applyBorder="1" applyAlignment="1">
      <x:alignment horizontal="left" vertical="top"/>
    </x:xf>
    <x:xf numFmtId="0" fontId="33" fillId="23" borderId="2" xfId="0" applyFont="1" applyFill="1" applyBorder="1" applyAlignment="1"/>
    <x:xf numFmtId="0" fontId="34" fillId="0" borderId="0" xfId="0" applyFont="1"/>
    <x:xf numFmtId="0" fontId="35" fillId="0" borderId="0" xfId="0" applyFont="1"/>
    <x:xf numFmtId="0" fontId="36" fillId="24" borderId="16" xfId="0" applyFont="1" applyFill="1" applyBorder="1"/>
    <x:xf numFmtId="0" fontId="36" fillId="24" borderId="16" xfId="0" applyFont="1" applyFill="1" applyBorder="1" applyAlignment="1">
      <x:alignment horizontal="center"/>
    </x:xf>
    <x:xf numFmtId="0" fontId="37" fillId="25" borderId="16" xfId="0" applyFont="1" applyFill="1" applyBorder="1" applyAlignment="1">
      <x:alignment horizontal="center" vertical="center"/>
    </x:xf>
    <x:xf numFmtId="0" fontId="35" fillId="0" borderId="0" xfId="0" applyFont="1" applyAlignment="1">
      <x:alignment horizontal="center" vertical="center" wrapText="1" shrinkToFit="0"/>
    </x:xf>
    <x:xf numFmtId="0" fontId="35" fillId="0" borderId="0" xfId="0" applyFont="1" applyAlignment="1">
      <x:alignment vertical="center" wrapText="1" shrinkToFit="0"/>
    </x:xf>
    <x:xf numFmtId="0" fontId="35" fillId="26" borderId="16" xfId="0" applyFont="1" applyFill="1" applyBorder="1" applyAlignment="1">
      <x:alignment horizontal="center" vertical="center" wrapText="1" shrinkToFit="0"/>
    </x:xf>
    <x:xf numFmtId="0" fontId="35" fillId="26" borderId="16" xfId="0" applyFont="1" applyFill="1" applyBorder="1" applyAlignment="1">
      <x:alignment vertical="center" wrapText="1" shrinkToFit="0"/>
    </x:xf>
    <x:xf numFmtId="0" fontId="38" fillId="0" borderId="0" xfId="0" applyFont="1"/>
    <x:xf numFmtId="0" fontId="37" fillId="27" borderId="16" xfId="0" applyFont="1" applyFill="1" applyBorder="1" applyAlignment="1">
      <x:alignment horizontal="center" vertical="center"/>
    </x:xf>
    <x:xf numFmtId="164" fontId="35" fillId="0" borderId="0" xfId="0" applyNumberFormat="1" applyFont="1" applyAlignment="1">
      <x:alignment vertical="center" wrapText="1" shrinkToFit="0"/>
    </x:xf>
    <x:xf numFmtId="164" fontId="35" fillId="26" borderId="16" xfId="0" applyNumberFormat="1" applyFont="1" applyFill="1" applyBorder="1" applyAlignment="1">
      <x:alignment vertical="center" wrapText="1" shrinkToFit="0"/>
    </x:xf>
    <x:xf numFmtId="0" fontId="37" fillId="28" borderId="16" xfId="0" applyFont="1" applyFill="1" applyBorder="1" applyAlignment="1">
      <x:alignment horizontal="center" vertical="center"/>
    </x:xf>
    <x:xf numFmtId="0" fontId="35" fillId="0" borderId="0" xfId="0" applyFont="1" applyAlignment="1">
      <x:alignment wrapText="1" shrinkToFit="0"/>
    </x:xf>
    <x:xf numFmtId="0" fontId="35" fillId="0" borderId="0" xfId="0" applyFont="1" applyAlignment="1">
      <x:alignment wrapText="0" shrinkToFit="0"/>
    </x:xf>
    <x:xf numFmtId="164" fontId="35" fillId="0" borderId="0" xfId="0" applyNumberFormat="1" applyFont="1" applyFill="1" applyBorder="1" applyAlignment="1">
      <x:alignment vertical="center" wrapText="1"/>
    </x:xf>
    <x:xf numFmtId="0" fontId="35" fillId="0" borderId="0" xfId="0" applyNumberFormat="1" applyFont="1" applyFill="1" applyBorder="1" applyAlignment="1">
      <x:alignment vertical="center" wrapText="1"/>
    </x:xf>
    <x:xf numFmtId="164" fontId="35" fillId="26" borderId="16" xfId="0" applyNumberFormat="1" applyFont="1" applyFill="1" applyBorder="1" applyAlignment="1">
      <x:alignment vertical="center" wrapText="1"/>
    </x:xf>
    <x:xf numFmtId="0" fontId="35" fillId="26" borderId="16" xfId="0" applyNumberFormat="1" applyFont="1" applyFill="1" applyBorder="1" applyAlignment="1">
      <x:alignment vertical="center" wrapText="1"/>
    </x:xf>
    <x:xf numFmtId="164" fontId="35" fillId="29" borderId="0" xfId="0" applyNumberFormat="1" applyFont="1" applyFill="1" applyBorder="1" applyAlignment="1">
      <x:alignment vertical="center" wrapText="1"/>
    </x:xf>
    <x:xf numFmtId="0" fontId="35" fillId="29" borderId="0" xfId="0" applyNumberFormat="1" applyFont="1" applyFill="1" applyBorder="1" applyAlignment="1">
      <x:alignment vertical="center" wrapText="1"/>
    </x:xf>
    <x:xf numFmtId="200" fontId="8" fillId="4" borderId="0" xfId="0" applyNumberFormat="1" applyFont="1" applyFill="1" applyBorder="1" applyAlignment="1">
      <x:alignment horizontal="right" vertical="bottom" wrapText="1"/>
    </x:xf>
    <x:xf numFmtId="201" fontId="18" fillId="5" borderId="6" xfId="0" applyNumberFormat="1" applyFont="1" applyFill="1" applyBorder="1" applyAlignment="1">
      <x:alignment horizontal="center" vertical="bottom" wrapText="1"/>
    </x:xf>
    <x:xf numFmtId="201" fontId="10" fillId="4" borderId="6" xfId="0" applyNumberFormat="1" applyFont="1" applyFill="1" applyBorder="1" applyAlignment="1">
      <x:alignment horizontal="center" vertical="bottom" wrapText="1"/>
    </x:xf>
    <x:xf numFmtId="201" fontId="1" fillId="0" borderId="15" xfId="0" applyNumberFormat="1" applyFont="1" applyFill="1" applyBorder="1" applyAlignment="1">
      <x:alignment horizontal="center"/>
    </x:xf>
    <x:xf numFmtId="201" fontId="1" fillId="21" borderId="15" xfId="0" applyNumberFormat="1" applyFont="1" applyFill="1" applyBorder="1" applyAlignment="1">
      <x:alignment horizontal="center"/>
    </x:xf>
    <x:xf numFmtId="201" fontId="1" fillId="21" borderId="15" xfId="0" applyNumberFormat="1" applyFont="1" applyFill="1" applyBorder="1" applyAlignment="1">
      <x:alignment horizontal="center" wrapText="1"/>
    </x:xf>
    <x:xf numFmtId="0" fontId="32" fillId="0" borderId="15" xfId="0" applyNumberFormat="1" applyFont="1" applyFill="1" applyBorder="1" applyAlignment="1">
      <x:alignment horizontal="center" wrapText="1"/>
    </x:xf>
    <x:xf numFmtId="0" fontId="1" fillId="0" borderId="15" xfId="0" applyNumberFormat="1" applyFont="1" applyFill="1" applyBorder="1" applyAlignment="1">
      <x:alignment horizontal="center" wrapText="1"/>
    </x:xf>
    <x:xf numFmtId="0" fontId="20" fillId="15" borderId="5" xfId="0" applyNumberFormat="1" applyFont="1" applyFill="1" applyBorder="1" applyAlignment="1">
      <x:alignment vertical="top" wrapText="1"/>
    </x:xf>
    <x:xf numFmtId="0" fontId="21" fillId="15" borderId="5" xfId="0" applyNumberFormat="1" applyFont="1" applyFill="1" applyBorder="1" applyAlignment="1">
      <x:alignment vertical="top" wrapText="1"/>
    </x:xf>
    <x:xf numFmtId="0" fontId="20" fillId="15" borderId="5" xfId="0" applyNumberFormat="1" applyFont="1" applyFill="1" applyBorder="1" applyAlignment="1">
      <x:alignment horizontal="left" vertical="top" wrapText="1"/>
    </x:xf>
    <x:xf numFmtId="0" fontId="23" fillId="15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9B4337"/>
      </x:font>
      <x:fill>
        <x:patternFill>
          <x:bgColor rgb="FFF8E8E4"/>
        </x:patternFill>
      </x:fill>
      <x:border/>
    </x:dxf>
    <x:dxf>
      <x:font>
        <x:b/>
        <x:color rgb="FF835C20"/>
      </x:font>
      <x:fill>
        <x:patternFill>
          <x:bgColor rgb="FFFFF1D9"/>
        </x:patternFill>
      </x:fill>
      <x:border/>
    </x:dxf>
    <x:dxf>
      <x:font>
        <x:b/>
        <x:color rgb="FF3D5677"/>
      </x:font>
      <x:fill>
        <x:patternFill>
          <x:bgColor rgb="FFE7ECF7"/>
        </x:patternFill>
      </x:fill>
      <x:border/>
    </x:dxf>
    <x:dxf>
      <x:font>
        <x:b/>
        <x:color rgb="FF286246"/>
      </x:font>
      <x:fill>
        <x:patternFill>
          <x:bgColor rgb="FFE4F1E9"/>
        </x:patternFill>
      </x:fill>
      <x:border/>
    </x:dxf>
    <x:dxf>
      <x:font>
        <x:color rgb="FF226144"/>
      </x:font>
      <x:fill>
        <x:patternFill patternType="solid">
          <x:bgColor rgb="FFE3EE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2b2cbef1b04ff5" /><Relationship Type="http://schemas.openxmlformats.org/officeDocument/2006/relationships/theme" Target="/xl/theme/theme1.xml" Id="R3b686ef8dbe64a6e" /><Relationship Type="http://schemas.openxmlformats.org/officeDocument/2006/relationships/sharedStrings" Target="/xl/sharedStrings.xml" Id="Rb901655ca58d4083" /><Relationship Type="http://schemas.openxmlformats.org/officeDocument/2006/relationships/worksheet" Target="/xl/worksheets/sheet1.xml" Id="R51d76f67b8a844de" /><Relationship Type="http://schemas.openxmlformats.org/officeDocument/2006/relationships/worksheet" Target="/xl/worksheets/sheet2.xml" Id="R23aa6a2969ce4773" /><Relationship Type="http://schemas.openxmlformats.org/officeDocument/2006/relationships/worksheet" Target="/xl/worksheets/sheet3.xml" Id="Re45be6d1610c411f" /><Relationship Type="http://schemas.openxmlformats.org/officeDocument/2006/relationships/worksheet" Target="/xl/worksheets/sheet4.xml" Id="R9e27413f2e7346c4" /><Relationship Type="http://schemas.openxmlformats.org/officeDocument/2006/relationships/worksheet" Target="/xl/worksheets/sheet5.xml" Id="Rfe2bc65446d7414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2.630000114440918" customWidth="1"/>
    <x:col min="2" max="2" width="12.130000114440918" customWidth="1"/>
    <x:col min="3" max="3" width="32" customWidth="1"/>
    <x:col min="4" max="4" width="70.25" customWidth="1"/>
    <x:col min="5" max="5" width="41.25" customWidth="1"/>
    <x:col min="6" max="6" width="16.75" customWidth="1"/>
    <x:col min="7" max="7" width="13.130000114440918" customWidth="1"/>
    <x:col min="8" max="8" width="15.25" customWidth="1"/>
    <x:col min="9" max="9" width="7.630000114440918" customWidth="1"/>
    <x:col min="10" max="10" width="13.25" customWidth="1"/>
    <x:col min="11" max="26" width="7.630000114440918" customWidth="1"/>
  </x:cols>
  <x:sheetData>
    <x:row r="1" ht="16.5" customHeight="1"/>
    <x:row r="2" ht="16.5" customHeight="1">
      <x:c r="B2" s="10" t="s">
        <x:v>0</x:v>
      </x:c>
    </x:row>
    <x:row r="3" ht="16.5" customHeight="1"/>
    <x:row r="4" ht="27.75" customHeight="1">
      <x:c r="B4" s="14" t="s">
        <x:v>1</x:v>
      </x:c>
      <x:c r="C4" s="14" t="s">
        <x:v>2</x:v>
      </x:c>
      <x:c r="D4" s="14" t="s">
        <x:v>3</x:v>
      </x:c>
      <x:c r="E4" s="14" t="s">
        <x:v>4</x:v>
      </x:c>
      <x:c r="F4" s="14" t="s">
        <x:v>5</x:v>
      </x:c>
      <x:c r="G4" s="14" t="s">
        <x:v>6</x:v>
      </x:c>
      <x:c r="H4" s="20" t="s">
        <x:v>7</x:v>
      </x:c>
    </x:row>
    <x:row r="5" ht="45.75" customHeight="1">
      <x:c r="B5" s="23" t="s">
        <x:v>8</x:v>
      </x:c>
      <x:c r="C5" s="23" t="s">
        <x:v>9</x:v>
      </x:c>
      <x:c r="D5" s="26" t="s">
        <x:v>10</x:v>
      </x:c>
      <x:c r="E5" s="29" t="s">
        <x:v>11</x:v>
      </x:c>
      <x:c r="F5" s="23" t="s">
        <x:v>12</x:v>
      </x:c>
      <x:c r="G5" s="23" t="s">
        <x:v>9</x:v>
      </x:c>
      <x:c r="H5" s="32">
        <x:v>1.0</x:v>
      </x:c>
      <x:c r="I5" s="34">
        <x:v>1.0</x:v>
      </x:c>
      <x:c r="K5" s="36" t="s">
        <x:v>13</x:v>
      </x:c>
    </x:row>
    <x:row r="6" ht="45.75" customHeight="1">
      <x:c r="B6" s="41" t="s">
        <x:v>14</x:v>
      </x:c>
      <x:c r="C6" s="41" t="s">
        <x:v>9</x:v>
      </x:c>
      <x:c r="D6" s="44" t="s">
        <x:v>15</x:v>
      </x:c>
      <x:c r="E6" s="47" t="s">
        <x:v>16</x:v>
      </x:c>
      <x:c r="F6" s="41" t="s">
        <x:v>12</x:v>
      </x:c>
      <x:c r="G6" s="41" t="s">
        <x:v>9</x:v>
      </x:c>
      <x:c r="H6" s="52"/>
      <x:c r="I6" s="34">
        <x:v>1.0</x:v>
      </x:c>
      <x:c r="K6" s="36" t="s">
        <x:v>13</x:v>
      </x:c>
    </x:row>
    <x:row r="7" ht="45.75" customHeight="1">
      <x:c r="B7" s="54" t="s">
        <x:v>17</x:v>
      </x:c>
      <x:c r="C7" s="54" t="s">
        <x:v>18</x:v>
      </x:c>
      <x:c r="D7" s="56" t="s">
        <x:v>19</x:v>
      </x:c>
      <x:c r="E7" s="62" t="s">
        <x:v>20</x:v>
      </x:c>
      <x:c r="F7" s="54" t="s">
        <x:v>12</x:v>
      </x:c>
      <x:c r="G7" s="54" t="s">
        <x:v>21</x:v>
      </x:c>
      <x:c r="H7" s="63">
        <x:v>1.0</x:v>
      </x:c>
      <x:c r="I7" s="34">
        <x:v>1.0</x:v>
      </x:c>
      <x:c r="K7" s="36" t="s">
        <x:v>13</x:v>
      </x:c>
    </x:row>
    <x:row r="8" ht="45.75" customHeight="1">
      <x:c r="B8" s="71" t="s">
        <x:v>22</x:v>
      </x:c>
      <x:c r="C8" s="71" t="s">
        <x:v>18</x:v>
      </x:c>
      <x:c r="D8" s="72" t="s">
        <x:v>23</x:v>
      </x:c>
      <x:c r="E8" s="76" t="s">
        <x:v>24</x:v>
      </x:c>
      <x:c r="F8" s="71" t="s">
        <x:v>12</x:v>
      </x:c>
      <x:c r="G8" s="71" t="s">
        <x:v>25</x:v>
      </x:c>
      <x:c r="H8" s="63">
        <x:v>2.0</x:v>
      </x:c>
      <x:c r="I8" s="78">
        <x:v>2.0</x:v>
      </x:c>
      <x:c r="K8" s="36" t="s">
        <x:v>13</x:v>
      </x:c>
    </x:row>
    <x:row r="9" ht="63.75" customHeight="1">
      <x:c r="B9" s="54" t="s">
        <x:v>26</x:v>
      </x:c>
      <x:c r="C9" s="54" t="s">
        <x:v>18</x:v>
      </x:c>
      <x:c r="D9" s="56" t="s">
        <x:v>27</x:v>
      </x:c>
      <x:c r="E9" s="62" t="s">
        <x:v>28</x:v>
      </x:c>
      <x:c r="F9" s="79" t="s">
        <x:v>29</x:v>
      </x:c>
      <x:c r="G9" s="54" t="s">
        <x:v>25</x:v>
      </x:c>
      <x:c r="H9" s="63">
        <x:v>3.0</x:v>
      </x:c>
      <x:c r="I9" s="78">
        <x:v>2.0</x:v>
      </x:c>
      <x:c r="J9" s="36" t="s">
        <x:v>30</x:v>
      </x:c>
      <x:c r="K9" s="36" t="s">
        <x:v>13</x:v>
      </x:c>
    </x:row>
    <x:row r="10" ht="63.75" customHeight="1">
      <x:c r="B10" s="71" t="s">
        <x:v>31</x:v>
      </x:c>
      <x:c r="C10" s="71" t="s">
        <x:v>32</x:v>
      </x:c>
      <x:c r="D10" s="72" t="s">
        <x:v>33</x:v>
      </x:c>
      <x:c r="E10" s="76" t="s">
        <x:v>34</x:v>
      </x:c>
      <x:c r="F10" s="83" t="s">
        <x:v>35</x:v>
      </x:c>
      <x:c r="G10" s="71" t="s">
        <x:v>36</x:v>
      </x:c>
      <x:c r="H10" s="63"/>
    </x:row>
    <x:row r="11" ht="63.75" customHeight="1">
      <x:c r="B11" s="54" t="s">
        <x:v>37</x:v>
      </x:c>
      <x:c r="C11" s="54" t="s">
        <x:v>32</x:v>
      </x:c>
      <x:c r="D11" s="56" t="s">
        <x:v>38</x:v>
      </x:c>
      <x:c r="E11" s="62" t="s">
        <x:v>39</x:v>
      </x:c>
      <x:c r="F11" s="79" t="s">
        <x:v>40</x:v>
      </x:c>
      <x:c r="G11" s="54" t="s">
        <x:v>36</x:v>
      </x:c>
      <x:c r="H11" s="63"/>
    </x:row>
    <x:row r="12" ht="45.75" customHeight="1">
      <x:c r="B12" s="71" t="s">
        <x:v>41</x:v>
      </x:c>
      <x:c r="C12" s="71" t="s">
        <x:v>32</x:v>
      </x:c>
      <x:c r="D12" s="72" t="s">
        <x:v>42</x:v>
      </x:c>
      <x:c r="E12" s="76" t="s">
        <x:v>43</x:v>
      </x:c>
      <x:c r="F12" s="71" t="s">
        <x:v>29</x:v>
      </x:c>
      <x:c r="G12" s="71" t="s">
        <x:v>36</x:v>
      </x:c>
      <x:c r="H12" s="63"/>
      <x:c r="I12" s="78">
        <x:v>2.0</x:v>
      </x:c>
      <x:c r="J12" s="36" t="s">
        <x:v>44</x:v>
      </x:c>
      <x:c r="K12" s="36" t="s">
        <x:v>13</x:v>
      </x:c>
    </x:row>
    <x:row r="13" ht="45.75" customHeight="1">
      <x:c r="B13" s="54" t="s">
        <x:v>45</x:v>
      </x:c>
      <x:c r="C13" s="54" t="s">
        <x:v>32</x:v>
      </x:c>
      <x:c r="D13" s="56" t="s">
        <x:v>46</x:v>
      </x:c>
      <x:c r="E13" s="62" t="s">
        <x:v>47</x:v>
      </x:c>
      <x:c r="F13" s="54" t="s">
        <x:v>29</x:v>
      </x:c>
      <x:c r="G13" s="54" t="s">
        <x:v>48</x:v>
      </x:c>
      <x:c r="H13" s="63"/>
      <x:c r="I13" s="78">
        <x:v>2.0</x:v>
      </x:c>
      <x:c r="J13" s="36" t="s">
        <x:v>44</x:v>
      </x:c>
      <x:c r="K13" s="36" t="s">
        <x:v>13</x:v>
      </x:c>
    </x:row>
    <x:row r="14" ht="45.75" customHeight="1">
      <x:c r="B14" s="71" t="s">
        <x:v>49</x:v>
      </x:c>
      <x:c r="C14" s="71" t="s">
        <x:v>50</x:v>
      </x:c>
      <x:c r="D14" s="72" t="s">
        <x:v>51</x:v>
      </x:c>
      <x:c r="E14" s="76" t="s">
        <x:v>52</x:v>
      </x:c>
      <x:c r="F14" s="71" t="s">
        <x:v>12</x:v>
      </x:c>
      <x:c r="G14" s="71" t="s">
        <x:v>53</x:v>
      </x:c>
      <x:c r="H14" s="63">
        <x:v>1.0</x:v>
      </x:c>
      <x:c r="I14" s="34">
        <x:v>1.0</x:v>
      </x:c>
      <x:c r="K14" s="36" t="s">
        <x:v>13</x:v>
      </x:c>
    </x:row>
    <x:row r="15" ht="45.75" customHeight="1">
      <x:c r="B15" s="54" t="s">
        <x:v>54</x:v>
      </x:c>
      <x:c r="C15" s="54" t="s">
        <x:v>50</x:v>
      </x:c>
      <x:c r="D15" s="56" t="s">
        <x:v>55</x:v>
      </x:c>
      <x:c r="E15" s="62" t="s">
        <x:v>56</x:v>
      </x:c>
      <x:c r="F15" s="79" t="s">
        <x:v>40</x:v>
      </x:c>
      <x:c r="G15" s="54" t="s">
        <x:v>21</x:v>
      </x:c>
      <x:c r="H15" s="88"/>
    </x:row>
    <x:row r="16" ht="45.75" customHeight="1">
      <x:c r="B16" s="71" t="s">
        <x:v>57</x:v>
      </x:c>
      <x:c r="C16" s="71" t="s">
        <x:v>58</x:v>
      </x:c>
      <x:c r="D16" s="72" t="s">
        <x:v>59</x:v>
      </x:c>
      <x:c r="E16" s="76" t="s">
        <x:v>60</x:v>
      </x:c>
      <x:c r="F16" s="83" t="s">
        <x:v>35</x:v>
      </x:c>
      <x:c r="G16" s="71" t="s">
        <x:v>61</x:v>
      </x:c>
      <x:c r="H16" s="88"/>
    </x:row>
    <x:row r="17" ht="45.75" customHeight="1">
      <x:c r="B17" s="54" t="s">
        <x:v>62</x:v>
      </x:c>
      <x:c r="C17" s="54" t="s">
        <x:v>58</x:v>
      </x:c>
      <x:c r="D17" s="56" t="s">
        <x:v>63</x:v>
      </x:c>
      <x:c r="E17" s="62" t="s">
        <x:v>64</x:v>
      </x:c>
      <x:c r="F17" s="79" t="s">
        <x:v>35</x:v>
      </x:c>
      <x:c r="G17" s="54" t="s">
        <x:v>65</x:v>
      </x:c>
      <x:c r="H17" s="88"/>
    </x:row>
    <x:row r="18" ht="16.5" customHeight="1"/>
    <x:row r="19" ht="16.5" customHeight="1"/>
    <x:row r="20" ht="16.5" customHeight="1"/>
    <x:row r="21" ht="16.5" customHeight="1"/>
    <x:row r="22" ht="16.5" customHeight="1"/>
    <x:row r="23" ht="16.5" customHeight="1"/>
    <x:row r="24" ht="16.5" customHeight="1"/>
    <x:row r="25" ht="16.5" customHeight="1">
      <x:c r="B25" s="90" t="s">
        <x:v>66</x:v>
      </x:c>
    </x:row>
    <x:row r="26" ht="16.5" customHeight="1">
      <x:c r="B26" s="91"/>
      <x:c r="C26" s="91"/>
      <x:c r="D26" s="91"/>
      <x:c r="E26" s="91"/>
      <x:c r="F26" s="91"/>
    </x:row>
    <x:row r="27" ht="16.5" customHeight="1">
      <x:c r="B27" s="92" t="s">
        <x:v>67</x:v>
      </x:c>
      <x:c r="C27" s="93" t="s">
        <x:v>68</x:v>
      </x:c>
      <x:c r="D27" s="93" t="s">
        <x:v>69</x:v>
      </x:c>
      <x:c r="E27" s="93" t="s">
        <x:v>69</x:v>
      </x:c>
      <x:c r="F27" s="93" t="s">
        <x:v>6</x:v>
      </x:c>
    </x:row>
    <x:row r="28" ht="16.5" customHeight="1">
      <x:c r="B28" s="94">
        <x:v>1.0</x:v>
      </x:c>
      <x:c r="C28" s="97" t="s">
        <x:v>10</x:v>
      </x:c>
      <x:c r="D28" s="99" t="s">
        <x:v>70</x:v>
      </x:c>
      <x:c r="E28" s="94" t="s">
        <x:v>12</x:v>
      </x:c>
      <x:c r="F28" s="94" t="s">
        <x:v>9</x:v>
      </x:c>
    </x:row>
    <x:row r="29" ht="16.5" customHeight="1">
      <x:c r="B29" s="101"/>
      <x:c r="C29" s="101"/>
      <x:c r="D29" s="99" t="str">
        <x:v>주거단위 기반 수요와 과거 결합권역 배출량의 조건부 추정을 구분. 실제 배출량으로 확정하지 않음.</x:v>
      </x:c>
      <x:c r="E29" s="101"/>
      <x:c r="F29" s="101"/>
      <x:c r="K29" s="36" t="s">
        <x:v>71</x:v>
      </x:c>
    </x:row>
    <x:row r="30" ht="16.5" customHeight="1">
      <x:c r="B30" s="101"/>
      <x:c r="C30" s="101"/>
      <x:c r="D30" s="99" t="str">
        <x:v>현재 팀 2차 6곳/9곳 제안의 접근거리·담당 필지를 비교. 전체 알고리즘 재학습/재분석은 이번 제외.</x:v>
      </x:c>
      <x:c r="E30" s="101"/>
      <x:c r="F30" s="101"/>
      <x:c r="G30" s="36" t="s">
        <x:v>72</x:v>
      </x:c>
      <x:c r="H30" s="36" t="s">
        <x:v>73</x:v>
      </x:c>
      <x:c r="K30" s="36" t="s">
        <x:v>74</x:v>
      </x:c>
    </x:row>
    <x:row r="31" ht="16.5" customHeight="1">
      <x:c r="B31" s="52"/>
      <x:c r="C31" s="52"/>
      <x:c r="D31" s="99" t="s">
        <x:v>75</x:v>
      </x:c>
      <x:c r="E31" s="52"/>
      <x:c r="F31" s="52"/>
    </x:row>
    <x:row r="32" ht="16.5" customHeight="1">
      <x:c r="B32" s="94">
        <x:v>2.0</x:v>
      </x:c>
      <x:c r="C32" s="97" t="s">
        <x:v>15</x:v>
      </x:c>
      <x:c r="D32" s="99" t="str">
        <x:v>등록 도로폭·보호시설 이격 자료 표시. 현장 유효폭·진입/정차/출차 가능은 미확인 유지.</x:v>
      </x:c>
      <x:c r="E32" s="94" t="s">
        <x:v>12</x:v>
      </x:c>
      <x:c r="F32" s="94" t="s">
        <x:v>9</x:v>
      </x:c>
    </x:row>
    <x:row r="33" ht="16.5" customHeight="1">
      <x:c r="B33" s="101"/>
      <x:c r="C33" s="101"/>
      <x:c r="D33" s="99" t="s">
        <x:v>76</x:v>
      </x:c>
      <x:c r="E33" s="101"/>
      <x:c r="F33" s="101"/>
      <x:c r="G33" s="36" t="s">
        <x:v>77</x:v>
      </x:c>
    </x:row>
    <x:row r="34" ht="16.5" customHeight="1">
      <x:c r="B34" s="52"/>
      <x:c r="C34" s="52"/>
      <x:c r="D34" s="99" t="s">
        <x:v>78</x:v>
      </x:c>
      <x:c r="E34" s="52"/>
      <x:c r="F34" s="52"/>
    </x:row>
    <x:row r="35" ht="16.5" customHeight="1">
      <x:c r="B35" s="94">
        <x:v>3.0</x:v>
      </x:c>
      <x:c r="C35" s="97" t="s">
        <x:v>19</x:v>
      </x:c>
      <x:c r="D35" s="99" t="s">
        <x:v>79</x:v>
      </x:c>
      <x:c r="E35" s="94" t="s">
        <x:v>12</x:v>
      </x:c>
      <x:c r="F35" s="94" t="s">
        <x:v>21</x:v>
      </x:c>
    </x:row>
    <x:row r="36" ht="16.5" customHeight="1">
      <x:c r="B36" s="101"/>
      <x:c r="C36" s="101"/>
      <x:c r="D36" s="99" t="str">
        <x:v>보유 키워드 검색 결과·더보기·선택 제공. 실시간 자동완성/오타 유사검색은 후속.</x:v>
      </x:c>
      <x:c r="E36" s="101"/>
      <x:c r="F36" s="101"/>
      <x:c r="G36" s="36" t="s">
        <x:v>80</x:v>
      </x:c>
    </x:row>
    <x:row r="37" ht="16.5" customHeight="1">
      <x:c r="B37" s="52"/>
      <x:c r="C37" s="52"/>
      <x:c r="D37" s="99" t="str">
        <x:v>보유 건물 좌표를 사용해 지도 이동. 외부 주소검색/지오코딩 API를 새로 붙이지 않음.</x:v>
      </x:c>
      <x:c r="E37" s="52"/>
      <x:c r="F37" s="52"/>
    </x:row>
    <x:row r="38" ht="16.5" customHeight="1">
      <x:c r="B38" s="94">
        <x:v>4.0</x:v>
      </x:c>
      <x:c r="C38" s="97" t="s">
        <x:v>23</x:v>
      </x:c>
      <x:c r="D38" s="99" t="s">
        <x:v>81</x:v>
      </x:c>
      <x:c r="E38" s="94" t="s">
        <x:v>12</x:v>
      </x:c>
      <x:c r="F38" s="94" t="s">
        <x:v>25</x:v>
      </x:c>
    </x:row>
    <x:row r="39" ht="16.5" customHeight="1">
      <x:c r="B39" s="101"/>
      <x:c r="C39" s="101"/>
      <x:c r="D39" s="99" t="str">
        <x:v>담당 거점 직선거리 표시. 실제 개인 보행 경로와 차량 실운행 거리는 아님.</x:v>
      </x:c>
      <x:c r="E39" s="101"/>
      <x:c r="F39" s="101"/>
    </x:row>
    <x:row r="40" ht="16.5" customHeight="1">
      <x:c r="B40" s="52"/>
      <x:c r="C40" s="52"/>
      <x:c r="D40" s="99" t="s">
        <x:v>82</x:v>
      </x:c>
      <x:c r="E40" s="52"/>
      <x:c r="F40" s="52"/>
    </x:row>
    <x:row r="41" ht="16.5" customHeight="1">
      <x:c r="B41" s="94">
        <x:v>5.0</x:v>
      </x:c>
      <x:c r="C41" s="97" t="s">
        <x:v>27</x:v>
      </x:c>
      <x:c r="D41" s="99" t="s">
        <x:v>83</x:v>
      </x:c>
      <x:c r="E41" s="94" t="s">
        <x:v>29</x:v>
      </x:c>
      <x:c r="F41" s="94" t="s">
        <x:v>25</x:v>
      </x:c>
    </x:row>
    <x:row r="42" ht="16.5" customHeight="1">
      <x:c r="B42" s="101"/>
      <x:c r="C42" s="101"/>
      <x:c r="D42" s="99" t="str">
        <x:v>Gemini 품목 후보를 사용자가 선택하고 규격·수량은 직접 입력. 사진에서 규격·수량 자동 확정 안 함.</x:v>
      </x:c>
      <x:c r="E42" s="101"/>
      <x:c r="F42" s="101"/>
    </x:row>
    <x:row r="43" ht="16.5" customHeight="1">
      <x:c r="B43" s="52"/>
      <x:c r="C43" s="52"/>
      <x:c r="D43" s="99" t="str">
        <x:v>선택 규격의 DB 참고금액 조회·출처·공식 신고 링크. 예약/결제 API 구현은 제외.</x:v>
      </x:c>
      <x:c r="E43" s="52"/>
      <x:c r="F43" s="52"/>
    </x:row>
    <x:row r="44" ht="16.5" customHeight="1">
      <x:c r="B44" s="94">
        <x:v>6.0</x:v>
      </x:c>
      <x:c r="C44" s="97" t="s">
        <x:v>84</x:v>
      </x:c>
      <x:c r="D44" s="99" t="str">
        <x:v>Google Gemini에 정지 사진1장 전송, 공식 품목ID 중 최대3개 후보. DINO/YOLO 서비스 호출 제외.</x:v>
      </x:c>
      <x:c r="E44" s="94" t="s">
        <x:v>29</x:v>
      </x:c>
      <x:c r="F44" s="94" t="s">
        <x:v>36</x:v>
      </x:c>
    </x:row>
    <x:row r="45" ht="16.5" customHeight="1">
      <x:c r="B45" s="52"/>
      <x:c r="C45" s="52"/>
      <x:c r="D45" s="99" t="str">
        <x:v>확실한 후보가 없으면 빈 목록으로 보류. 모델 점수를 정답 확률로 표시하지 않으며 사용자가 최종 확인.</x:v>
      </x:c>
      <x:c r="E45" s="52"/>
      <x:c r="F45" s="52"/>
    </x:row>
    <x:row r="46" ht="16.5" customHeight="1">
      <x:c r="B46" s="94">
        <x:v>7.0</x:v>
      </x:c>
      <x:c r="C46" s="97" t="s">
        <x:v>85</x:v>
      </x:c>
      <x:c r="D46" s="99" t="str">
        <x:v>공식 발췌 DB 준비 완료. 남음: 검증 문서 분할·임베딩/검색·Gemini 근거 답변 연결.</x:v>
      </x:c>
      <x:c r="E46" s="94" t="s">
        <x:v>29</x:v>
      </x:c>
      <x:c r="F46" s="94" t="s">
        <x:v>48</x:v>
      </x:c>
      <x:c r="G46" s="36" t="s">
        <x:v>86</x:v>
      </x:c>
    </x:row>
    <x:row r="47" ht="16.5" customHeight="1">
      <x:c r="B47" s="101"/>
      <x:c r="C47" s="101"/>
      <x:c r="D47" s="99" t="str">
        <x:v>질문→검증 근거 검색→출처/날짜 포함 답변. 금액은 규격별 DB 조회를 사용.</x:v>
      </x:c>
      <x:c r="E47" s="101"/>
      <x:c r="F47" s="101"/>
    </x:row>
    <x:row r="48" ht="16.5" customHeight="1">
      <x:c r="B48" s="52"/>
      <x:c r="C48" s="52"/>
      <x:c r="D48" s="99" t="str">
        <x:v>근거·시행일이 부족하거나 범위 밖이면 추가 확인 필요. 질문10건의 정답/보류를 평가.</x:v>
      </x:c>
      <x:c r="E48" s="52"/>
      <x:c r="F48" s="52"/>
    </x:row>
    <x:row r="49" ht="16.5" customHeight="1">
      <x:c r="B49" s="94">
        <x:v>8.0</x:v>
      </x:c>
      <x:c r="C49" s="97" t="s">
        <x:v>51</x:v>
      </x:c>
      <x:c r="D49" s="99" t="str">
        <x:v>카카오 일반지도와 Leaflet/Folium 통합 분석 보기. 위성/VWorld 추가는 후속.</x:v>
      </x:c>
      <x:c r="E49" s="94" t="s">
        <x:v>12</x:v>
      </x:c>
      <x:c r="F49" s="94" t="s">
        <x:v>53</x:v>
      </x:c>
    </x:row>
    <x:row r="50" ht="16.5" customHeight="1">
      <x:c r="B50" s="101"/>
      <x:c r="C50" s="101"/>
      <x:c r="D50" s="99" t="s">
        <x:v>87</x:v>
      </x:c>
      <x:c r="E50" s="101"/>
      <x:c r="F50" s="101"/>
    </x:row>
    <x:row r="51" ht="16.5" customHeight="1">
      <x:c r="B51" s="52"/>
      <x:c r="C51" s="52"/>
      <x:c r="D51" s="99" t="s">
        <x:v>88</x:v>
      </x:c>
      <x:c r="E51" s="52"/>
      <x:c r="F51" s="52"/>
    </x:row>
    <x:row r="52" ht="16.5" customHeight="1">
      <x:c r="B52" s="94">
        <x:v>9.0</x:v>
      </x:c>
      <x:c r="C52" s="97" t="s">
        <x:v>59</x:v>
      </x:c>
      <x:c r="D52" s="99" t="str">
        <x:v>주소 검색어 영구 기록 없음. 사진 메모리 처리·EXIF 제거·외부 전송 고지. Opik에 사진·주소·검색어 저장 안 함.</x:v>
      </x:c>
      <x:c r="E52" s="94" t="s">
        <x:v>35</x:v>
      </x:c>
      <x:c r="F52" s="94" t="s">
        <x:v>61</x:v>
      </x:c>
    </x:row>
    <x:row r="53" ht="16.5" customHeight="1">
      <x:c r="B53" s="52"/>
      <x:c r="C53" s="52"/>
      <x:c r="D53" s="99" t="str">
        <x:v>영상·번호판/얼굴 인식·영상 마스킹은 이번 범위 제외.</x:v>
      </x:c>
      <x:c r="E53" s="52"/>
      <x:c r="F53" s="52"/>
    </x:row>
    <x:row r="54" ht="16.5" customHeight="1">
      <x:c r="B54" s="94">
        <x:v>10.0</x:v>
      </x:c>
      <x:c r="C54" s="97" t="s">
        <x:v>63</x:v>
      </x:c>
      <x:c r="D54" s="99" t="s">
        <x:v>89</x:v>
      </x:c>
      <x:c r="E54" s="94" t="s">
        <x:v>35</x:v>
      </x:c>
      <x:c r="F54" s="94" t="s">
        <x:v>65</x:v>
      </x:c>
    </x:row>
    <x:row r="55" ht="16.5" customHeight="1">
      <x:c r="B55" s="52"/>
      <x:c r="C55" s="52"/>
      <x:c r="D55" s="99" t="s">
        <x:v>90</x:v>
      </x:c>
      <x:c r="E55" s="52"/>
      <x:c r="F55" s="52"/>
    </x:row>
    <x:row r="56" ht="16.5" customHeight="1">
      <x:c r="B56" s="94" t="s">
        <x:v>91</x:v>
      </x:c>
      <x:c r="C56" s="97" t="s">
        <x:v>92</x:v>
      </x:c>
      <x:c r="D56" s="99" t="s">
        <x:v>93</x:v>
      </x:c>
      <x:c r="E56" s="94" t="s">
        <x:v>35</x:v>
      </x:c>
      <x:c r="F56" s="94" t="s">
        <x:v>36</x:v>
      </x:c>
    </x:row>
    <x:row r="57" ht="16.5" customHeight="1">
      <x:c r="B57" s="101"/>
      <x:c r="C57" s="101"/>
      <x:c r="D57" s="99" t="s">
        <x:v>94</x:v>
      </x:c>
      <x:c r="E57" s="101"/>
      <x:c r="F57" s="101"/>
    </x:row>
    <x:row r="58" ht="16.5" customHeight="1">
      <x:c r="B58" s="52"/>
      <x:c r="C58" s="52"/>
      <x:c r="D58" s="99" t="s">
        <x:v>95</x:v>
      </x:c>
      <x:c r="E58" s="52"/>
      <x:c r="F58" s="52"/>
    </x:row>
    <x:row r="59" ht="16.5" customHeight="1">
      <x:c r="B59" s="94" t="s">
        <x:v>91</x:v>
      </x:c>
      <x:c r="C59" s="97" t="s">
        <x:v>96</x:v>
      </x:c>
      <x:c r="D59" s="99" t="s">
        <x:v>97</x:v>
      </x:c>
      <x:c r="E59" s="94" t="s">
        <x:v>40</x:v>
      </x:c>
      <x:c r="F59" s="94" t="s">
        <x:v>36</x:v>
      </x:c>
    </x:row>
    <x:row r="60" ht="16.5" customHeight="1">
      <x:c r="B60" s="101"/>
      <x:c r="C60" s="101"/>
      <x:c r="D60" s="99" t="s">
        <x:v>98</x:v>
      </x:c>
      <x:c r="E60" s="101"/>
      <x:c r="F60" s="101"/>
    </x:row>
    <x:row r="61" ht="16.5" customHeight="1">
      <x:c r="B61" s="52"/>
      <x:c r="C61" s="52"/>
      <x:c r="D61" s="99" t="s">
        <x:v>99</x:v>
      </x:c>
      <x:c r="E61" s="52"/>
      <x:c r="F61" s="52"/>
    </x:row>
    <x:row r="62" ht="16.5" customHeight="1">
      <x:c r="B62" s="94" t="s">
        <x:v>91</x:v>
      </x:c>
      <x:c r="C62" s="97" t="s">
        <x:v>55</x:v>
      </x:c>
      <x:c r="D62" s="99" t="s">
        <x:v>100</x:v>
      </x:c>
      <x:c r="E62" s="94" t="s">
        <x:v>40</x:v>
      </x:c>
      <x:c r="F62" s="94" t="s">
        <x:v>21</x:v>
      </x:c>
    </x:row>
    <x:row r="63" ht="16.5" customHeight="1">
      <x:c r="B63" s="52"/>
      <x:c r="C63" s="52"/>
      <x:c r="D63" s="99" t="s">
        <x:v>101</x:v>
      </x:c>
      <x:c r="E63" s="52"/>
      <x:c r="F63" s="52"/>
    </x:row>
    <x:row r="64" ht="16.5" customHeight="1">
      <x:c r="C64" s="36"/>
      <x:c r="D64" s="36"/>
    </x:row>
    <x:row r="65" ht="16.5" customHeight="1">
      <x:c r="C65" s="36" t="s">
        <x:v>102</x:v>
      </x:c>
      <x:c r="D65" s="36" t="str">
        <x:v>신월1동 보유 건물 검색으로 제안 거점을 보고, 사진의 Gemini 후보를 사용자가 확정해 공식 배출 안내를 확인하는 웹 서비스. RAG 근거 답변은 후속 연결 중.</x:v>
      </x:c>
    </x:row>
    <x:row r="66" ht="16.5" customHeight="1"/>
    <x:row r="67" ht="16.5" customHeight="1"/>
    <x:row r="68" ht="16.5" customHeight="1"/>
    <x:row r="69" ht="16.5" customHeight="1"/>
    <x:row r="70" ht="16.5" customHeight="1"/>
    <x:row r="71" ht="16.5" customHeight="1"/>
    <x:row r="72" ht="16.5" customHeight="1"/>
    <x:row r="73" ht="16.5" customHeight="1"/>
    <x:row r="74" ht="16.5" customHeight="1"/>
    <x:row r="75" ht="16.5" customHeight="1"/>
    <x:row r="76" ht="16.5" customHeight="1"/>
    <x:row r="77" ht="16.5" customHeight="1"/>
    <x:row r="78" ht="16.5" customHeight="1"/>
    <x:row r="79" ht="16.5" customHeight="1"/>
    <x:row r="80" ht="16.5" customHeight="1"/>
    <x:row r="81" ht="16.5" customHeight="1"/>
    <x:row r="82" ht="16.5" customHeight="1"/>
    <x:row r="83" ht="16.5" customHeight="1"/>
    <x:row r="84" ht="16.5" customHeight="1"/>
    <x:row r="85" ht="16.5" customHeight="1"/>
    <x:row r="86" ht="16.5" customHeight="1"/>
    <x:row r="87" ht="16.5" customHeight="1"/>
    <x:row r="88" ht="16.5" customHeight="1"/>
    <x:row r="89" ht="16.5" customHeight="1"/>
    <x:row r="90" ht="16.5" customHeight="1"/>
    <x:row r="91" ht="16.5" customHeight="1"/>
    <x:row r="92" ht="16.5" customHeight="1"/>
    <x:row r="93" ht="16.5" customHeight="1"/>
    <x:row r="94" ht="16.5" customHeight="1"/>
    <x:row r="95" ht="16.5" customHeight="1"/>
    <x:row r="96" ht="16.5" customHeight="1"/>
    <x:row r="97" ht="16.5" customHeight="1"/>
    <x:row r="98" ht="16.5" customHeight="1"/>
    <x:row r="99" ht="16.5" customHeight="1"/>
    <x:row r="100" ht="16.5" customHeight="1"/>
    <x:row r="101" ht="16.5" customHeight="1"/>
    <x:row r="102" ht="16.5" customHeight="1"/>
    <x:row r="103" ht="16.5" customHeight="1"/>
    <x:row r="104" ht="16.5" customHeight="1"/>
    <x:row r="105" ht="16.5" customHeight="1"/>
    <x:row r="106" ht="16.5" customHeight="1"/>
    <x:row r="107" ht="16.5" customHeight="1"/>
    <x:row r="108" ht="16.5" customHeight="1"/>
    <x:row r="109" ht="16.5" customHeight="1"/>
    <x:row r="110" ht="16.5" customHeight="1"/>
    <x:row r="111" ht="16.5" customHeight="1"/>
    <x:row r="112" ht="16.5" customHeight="1"/>
    <x:row r="113" ht="16.5" customHeight="1"/>
    <x:row r="114" ht="16.5" customHeight="1"/>
    <x:row r="115" ht="16.5" customHeight="1"/>
    <x:row r="116" ht="16.5" customHeight="1"/>
    <x:row r="117" ht="16.5" customHeight="1"/>
    <x:row r="118" ht="16.5" customHeight="1"/>
    <x:row r="119" ht="16.5" customHeight="1"/>
    <x:row r="120" ht="16.5" customHeight="1"/>
    <x:row r="121" ht="16.5" customHeight="1"/>
    <x:row r="122" ht="16.5" customHeight="1"/>
    <x:row r="123" ht="16.5" customHeight="1"/>
    <x:row r="124" ht="16.5" customHeight="1"/>
    <x:row r="125" ht="16.5" customHeight="1"/>
    <x:row r="126" ht="16.5" customHeight="1"/>
    <x:row r="127" ht="16.5" customHeight="1"/>
    <x:row r="128" ht="16.5" customHeight="1"/>
    <x:row r="129" ht="16.5" customHeight="1"/>
    <x:row r="130" ht="16.5" customHeight="1"/>
    <x:row r="131" ht="16.5" customHeight="1"/>
    <x:row r="132" ht="16.5" customHeight="1"/>
    <x:row r="133" ht="16.5" customHeight="1"/>
    <x:row r="134" ht="16.5" customHeight="1"/>
    <x:row r="135" ht="16.5" customHeight="1"/>
    <x:row r="136" ht="16.5" customHeight="1"/>
    <x:row r="137" ht="16.5" customHeight="1"/>
    <x:row r="138" ht="16.5" customHeight="1"/>
    <x:row r="139" ht="16.5" customHeight="1"/>
    <x:row r="140" ht="16.5" customHeight="1"/>
    <x:row r="141" ht="16.5" customHeight="1"/>
    <x:row r="142" ht="16.5" customHeight="1"/>
    <x:row r="143" ht="16.5" customHeight="1"/>
    <x:row r="144" ht="16.5" customHeight="1"/>
    <x:row r="145" ht="16.5" customHeight="1"/>
    <x:row r="146" ht="16.5" customHeight="1"/>
    <x:row r="147" ht="16.5" customHeight="1"/>
    <x:row r="148" ht="16.5" customHeight="1"/>
    <x:row r="149" ht="16.5" customHeight="1"/>
    <x:row r="150" ht="16.5" customHeight="1"/>
    <x:row r="151" ht="16.5" customHeight="1"/>
    <x:row r="152" ht="16.5" customHeight="1"/>
    <x:row r="153" ht="16.5" customHeight="1"/>
    <x:row r="154" ht="16.5" customHeight="1"/>
    <x:row r="155" ht="16.5" customHeight="1"/>
    <x:row r="156" ht="16.5" customHeight="1"/>
    <x:row r="157" ht="16.5" customHeight="1"/>
    <x:row r="158" ht="16.5" customHeight="1"/>
    <x:row r="159" ht="16.5" customHeight="1"/>
    <x:row r="160" ht="16.5" customHeight="1"/>
    <x:row r="161" ht="16.5" customHeight="1"/>
    <x:row r="162" ht="16.5" customHeight="1"/>
    <x:row r="163" ht="16.5" customHeight="1"/>
    <x:row r="164" ht="16.5" customHeight="1"/>
    <x:row r="165" ht="16.5" customHeight="1"/>
    <x:row r="166" ht="16.5" customHeight="1"/>
    <x:row r="167" ht="16.5" customHeight="1"/>
    <x:row r="168" ht="16.5" customHeight="1"/>
    <x:row r="169" ht="16.5" customHeight="1"/>
    <x:row r="170" ht="16.5" customHeight="1"/>
    <x:row r="171" ht="16.5" customHeight="1"/>
    <x:row r="172" ht="16.5" customHeight="1"/>
    <x:row r="173" ht="16.5" customHeight="1"/>
    <x:row r="174" ht="16.5" customHeight="1"/>
    <x:row r="175" ht="16.5" customHeight="1"/>
    <x:row r="176" ht="16.5" customHeight="1"/>
    <x:row r="177" ht="16.5" customHeight="1"/>
    <x:row r="178" ht="16.5" customHeight="1"/>
    <x:row r="179" ht="16.5" customHeight="1"/>
    <x:row r="180" ht="16.5" customHeight="1"/>
    <x:row r="181" ht="16.5" customHeight="1"/>
    <x:row r="182" ht="16.5" customHeight="1"/>
    <x:row r="183" ht="16.5" customHeight="1"/>
    <x:row r="184" ht="16.5" customHeight="1"/>
    <x:row r="185" ht="16.5" customHeight="1"/>
    <x:row r="186" ht="16.5" customHeight="1"/>
    <x:row r="187" ht="16.5" customHeight="1"/>
    <x:row r="188" ht="16.5" customHeight="1"/>
    <x:row r="189" ht="16.5" customHeight="1"/>
    <x:row r="190" ht="16.5" customHeight="1"/>
    <x:row r="191" ht="16.5" customHeight="1"/>
    <x:row r="192" ht="16.5" customHeight="1"/>
    <x:row r="193" ht="16.5" customHeight="1"/>
    <x:row r="194" ht="16.5" customHeight="1"/>
    <x:row r="195" ht="16.5" customHeight="1"/>
    <x:row r="196" ht="16.5" customHeight="1"/>
    <x:row r="197" ht="16.5" customHeight="1"/>
    <x:row r="198" ht="16.5" customHeight="1"/>
    <x:row r="199" ht="16.5" customHeight="1"/>
    <x:row r="200" ht="16.5" customHeight="1"/>
    <x:row r="201" ht="16.5" customHeight="1"/>
    <x:row r="202" ht="16.5" customHeight="1"/>
    <x:row r="203" ht="16.5" customHeight="1"/>
    <x:row r="204" ht="16.5" customHeight="1"/>
    <x:row r="205" ht="16.5" customHeight="1"/>
    <x:row r="206" ht="16.5" customHeight="1"/>
    <x:row r="207" ht="16.5" customHeight="1"/>
    <x:row r="208" ht="16.5" customHeight="1"/>
    <x:row r="209" ht="16.5" customHeight="1"/>
    <x:row r="210" ht="16.5" customHeight="1"/>
    <x:row r="211" ht="16.5" customHeight="1"/>
    <x:row r="212" ht="16.5" customHeight="1"/>
    <x:row r="213" ht="16.5" customHeight="1"/>
    <x:row r="214" ht="16.5" customHeight="1"/>
    <x:row r="215" ht="16.5" customHeight="1"/>
    <x:row r="216" ht="16.5" customHeight="1"/>
    <x:row r="217" ht="16.5" customHeight="1"/>
    <x:row r="218" ht="16.5" customHeight="1"/>
    <x:row r="219" ht="16.5" customHeight="1"/>
    <x:row r="220" ht="16.5" customHeight="1"/>
    <x:row r="221" ht="16.5" customHeight="1"/>
    <x:row r="222" ht="16.5" customHeight="1"/>
    <x:row r="223" ht="16.5" customHeight="1"/>
    <x:row r="224" ht="16.5" customHeight="1"/>
    <x:row r="225" ht="16.5" customHeight="1"/>
    <x:row r="226" ht="16.5" customHeight="1"/>
    <x:row r="227" ht="16.5" customHeight="1"/>
    <x:row r="228" ht="16.5" customHeight="1"/>
    <x:row r="229" ht="16.5" customHeight="1"/>
    <x:row r="230" ht="16.5" customHeight="1"/>
    <x:row r="231" ht="16.5" customHeight="1"/>
    <x:row r="232" ht="16.5" customHeight="1"/>
    <x:row r="233" ht="16.5" customHeight="1"/>
    <x:row r="234" ht="16.5" customHeight="1"/>
    <x:row r="235" ht="16.5" customHeight="1"/>
    <x:row r="236" ht="16.5" customHeight="1"/>
    <x:row r="237" ht="16.5" customHeight="1"/>
    <x:row r="238" ht="16.5" customHeight="1"/>
    <x:row r="239" ht="16.5" customHeight="1"/>
    <x:row r="240" ht="16.5" customHeight="1"/>
    <x:row r="241" ht="16.5" customHeight="1"/>
    <x:row r="242" ht="16.5" customHeight="1"/>
    <x:row r="243" ht="16.5" customHeight="1"/>
    <x:row r="244" ht="16.5" customHeight="1"/>
    <x:row r="245" ht="16.5" customHeight="1"/>
    <x:row r="246" ht="16.5" customHeight="1"/>
    <x:row r="247" ht="16.5" customHeight="1"/>
    <x:row r="248" ht="16.5" customHeight="1"/>
    <x:row r="249" ht="16.5" customHeight="1"/>
    <x:row r="250" ht="16.5" customHeight="1"/>
    <x:row r="251" ht="16.5" customHeight="1"/>
    <x:row r="252" ht="16.5" customHeight="1"/>
    <x:row r="253" ht="16.5" customHeight="1"/>
    <x:row r="254" ht="16.5" customHeight="1"/>
    <x:row r="255" ht="16.5" customHeight="1"/>
    <x:row r="256" ht="16.5" customHeight="1"/>
    <x:row r="257" ht="16.5" customHeight="1"/>
    <x:row r="258" ht="16.5" customHeight="1"/>
    <x:row r="259" ht="16.5" customHeight="1"/>
    <x:row r="260" ht="16.5" customHeight="1"/>
    <x:row r="261" ht="16.5" customHeight="1"/>
    <x:row r="262" ht="16.5" customHeight="1"/>
    <x:row r="263" ht="16.5" customHeight="1"/>
    <x:row r="264" ht="16.5" customHeight="1"/>
    <x:row r="265" ht="16.5" customHeight="1"/>
    <x:row r="266" ht="16.5" customHeight="1"/>
    <x:row r="267" ht="16.5" customHeight="1"/>
    <x:row r="268" ht="16.5" customHeight="1"/>
    <x:row r="269" ht="16.5" customHeight="1"/>
    <x:row r="270" ht="16.5" customHeight="1"/>
    <x:row r="271" ht="16.5" customHeight="1"/>
    <x:row r="272" ht="16.5" customHeight="1"/>
    <x:row r="273" ht="16.5" customHeight="1"/>
    <x:row r="274" ht="16.5" customHeight="1"/>
    <x:row r="275" ht="16.5" customHeight="1"/>
    <x:row r="276" ht="16.5" customHeight="1"/>
    <x:row r="277" ht="16.5" customHeight="1"/>
    <x:row r="278" ht="16.5" customHeight="1"/>
    <x:row r="279" ht="16.5" customHeight="1"/>
    <x:row r="280" ht="16.5" customHeight="1"/>
    <x:row r="281" ht="16.5" customHeight="1"/>
    <x:row r="282" ht="16.5" customHeight="1"/>
    <x:row r="283" ht="16.5" customHeight="1"/>
    <x:row r="284" ht="16.5" customHeight="1"/>
    <x:row r="285" ht="16.5" customHeight="1"/>
    <x:row r="286" ht="16.5" customHeight="1"/>
    <x:row r="287" ht="16.5" customHeight="1"/>
    <x:row r="288" ht="16.5" customHeight="1"/>
    <x:row r="289" ht="16.5" customHeight="1"/>
    <x:row r="290" ht="16.5" customHeight="1"/>
    <x:row r="291" ht="16.5" customHeight="1"/>
    <x:row r="292" ht="16.5" customHeight="1"/>
    <x:row r="293" ht="16.5" customHeight="1"/>
    <x:row r="294" ht="16.5" customHeight="1"/>
    <x:row r="295" ht="16.5" customHeight="1"/>
    <x:row r="296" ht="16.5" customHeight="1"/>
    <x:row r="297" ht="16.5" customHeight="1"/>
    <x:row r="298" ht="16.5" customHeight="1"/>
    <x:row r="299" ht="16.5" customHeight="1"/>
    <x:row r="300" ht="16.5" customHeight="1"/>
    <x:row r="301" ht="16.5" customHeight="1"/>
    <x:row r="302" ht="16.5" customHeight="1"/>
    <x:row r="303" ht="16.5" customHeight="1"/>
    <x:row r="304" ht="16.5" customHeight="1"/>
    <x:row r="305" ht="16.5" customHeight="1"/>
    <x:row r="306" ht="16.5" customHeight="1"/>
    <x:row r="307" ht="16.5" customHeight="1"/>
    <x:row r="308" ht="16.5" customHeight="1"/>
    <x:row r="309" ht="16.5" customHeight="1"/>
    <x:row r="310" ht="16.5" customHeight="1"/>
    <x:row r="311" ht="16.5" customHeight="1"/>
    <x:row r="312" ht="16.5" customHeight="1"/>
    <x:row r="313" ht="16.5" customHeight="1"/>
    <x:row r="314" ht="16.5" customHeight="1"/>
    <x:row r="315" ht="16.5" customHeight="1"/>
    <x:row r="316" ht="16.5" customHeight="1"/>
    <x:row r="317" ht="16.5" customHeight="1"/>
    <x:row r="318" ht="16.5" customHeight="1"/>
    <x:row r="319" ht="16.5" customHeight="1"/>
    <x:row r="320" ht="16.5" customHeight="1"/>
    <x:row r="321" ht="16.5" customHeight="1"/>
    <x:row r="322" ht="16.5" customHeight="1"/>
    <x:row r="323" ht="16.5" customHeight="1"/>
    <x:row r="324" ht="16.5" customHeight="1"/>
    <x:row r="325" ht="16.5" customHeight="1"/>
    <x:row r="326" ht="16.5" customHeight="1"/>
    <x:row r="327" ht="16.5" customHeight="1"/>
    <x:row r="328" ht="16.5" customHeight="1"/>
    <x:row r="329" ht="16.5" customHeight="1"/>
    <x:row r="330" ht="16.5" customHeight="1"/>
    <x:row r="331" ht="16.5" customHeight="1"/>
    <x:row r="332" ht="16.5" customHeight="1"/>
    <x:row r="333" ht="16.5" customHeight="1"/>
    <x:row r="334" ht="16.5" customHeight="1"/>
    <x:row r="335" ht="16.5" customHeight="1"/>
    <x:row r="336" ht="16.5" customHeight="1"/>
    <x:row r="337" ht="16.5" customHeight="1"/>
    <x:row r="338" ht="16.5" customHeight="1"/>
    <x:row r="339" ht="16.5" customHeight="1"/>
    <x:row r="340" ht="16.5" customHeight="1"/>
    <x:row r="341" ht="16.5" customHeight="1"/>
    <x:row r="342" ht="16.5" customHeight="1"/>
    <x:row r="343" ht="16.5" customHeight="1"/>
    <x:row r="344" ht="16.5" customHeight="1"/>
    <x:row r="345" ht="16.5" customHeight="1"/>
    <x:row r="346" ht="16.5" customHeight="1"/>
    <x:row r="347" ht="16.5" customHeight="1"/>
    <x:row r="348" ht="16.5" customHeight="1"/>
    <x:row r="349" ht="16.5" customHeight="1"/>
    <x:row r="350" ht="16.5" customHeight="1"/>
    <x:row r="351" ht="16.5" customHeight="1"/>
    <x:row r="352" ht="16.5" customHeight="1"/>
    <x:row r="353" ht="16.5" customHeight="1"/>
    <x:row r="354" ht="16.5" customHeight="1"/>
    <x:row r="355" ht="16.5" customHeight="1"/>
    <x:row r="356" ht="16.5" customHeight="1"/>
    <x:row r="357" ht="16.5" customHeight="1"/>
    <x:row r="358" ht="16.5" customHeight="1"/>
    <x:row r="359" ht="16.5" customHeight="1"/>
    <x:row r="360" ht="16.5" customHeight="1"/>
    <x:row r="361" ht="16.5" customHeight="1"/>
    <x:row r="362" ht="16.5" customHeight="1"/>
    <x:row r="363" ht="16.5" customHeight="1"/>
    <x:row r="364" ht="16.5" customHeight="1"/>
    <x:row r="365" ht="16.5" customHeight="1"/>
    <x:row r="366" ht="16.5" customHeight="1"/>
    <x:row r="367" ht="16.5" customHeight="1"/>
    <x:row r="368" ht="16.5" customHeight="1"/>
    <x:row r="369" ht="16.5" customHeight="1"/>
    <x:row r="370" ht="16.5" customHeight="1"/>
    <x:row r="371" ht="16.5" customHeight="1"/>
    <x:row r="372" ht="16.5" customHeight="1"/>
    <x:row r="373" ht="16.5" customHeight="1"/>
    <x:row r="374" ht="16.5" customHeight="1"/>
    <x:row r="375" ht="16.5" customHeight="1"/>
    <x:row r="376" ht="16.5" customHeight="1"/>
    <x:row r="377" ht="16.5" customHeight="1"/>
    <x:row r="378" ht="16.5" customHeight="1"/>
    <x:row r="379" ht="16.5" customHeight="1"/>
    <x:row r="380" ht="16.5" customHeight="1"/>
    <x:row r="381" ht="16.5" customHeight="1"/>
    <x:row r="382" ht="16.5" customHeight="1"/>
    <x:row r="383" ht="16.5" customHeight="1"/>
    <x:row r="384" ht="16.5" customHeight="1"/>
    <x:row r="385" ht="16.5" customHeight="1"/>
    <x:row r="386" ht="16.5" customHeight="1"/>
    <x:row r="387" ht="16.5" customHeight="1"/>
    <x:row r="388" ht="16.5" customHeight="1"/>
    <x:row r="389" ht="16.5" customHeight="1"/>
    <x:row r="390" ht="16.5" customHeight="1"/>
    <x:row r="391" ht="16.5" customHeight="1"/>
    <x:row r="392" ht="16.5" customHeight="1"/>
    <x:row r="393" ht="16.5" customHeight="1"/>
    <x:row r="394" ht="16.5" customHeight="1"/>
    <x:row r="395" ht="16.5" customHeight="1"/>
    <x:row r="396" ht="16.5" customHeight="1"/>
    <x:row r="397" ht="16.5" customHeight="1"/>
    <x:row r="398" ht="16.5" customHeight="1"/>
    <x:row r="399" ht="16.5" customHeight="1"/>
    <x:row r="400" ht="16.5" customHeight="1"/>
    <x:row r="401" ht="16.5" customHeight="1"/>
    <x:row r="402" ht="16.5" customHeight="1"/>
    <x:row r="403" ht="16.5" customHeight="1"/>
    <x:row r="404" ht="16.5" customHeight="1"/>
    <x:row r="405" ht="16.5" customHeight="1"/>
    <x:row r="406" ht="16.5" customHeight="1"/>
    <x:row r="407" ht="16.5" customHeight="1"/>
    <x:row r="408" ht="16.5" customHeight="1"/>
    <x:row r="409" ht="16.5" customHeight="1"/>
    <x:row r="410" ht="16.5" customHeight="1"/>
    <x:row r="411" ht="16.5" customHeight="1"/>
    <x:row r="412" ht="16.5" customHeight="1"/>
    <x:row r="413" ht="16.5" customHeight="1"/>
    <x:row r="414" ht="16.5" customHeight="1"/>
    <x:row r="415" ht="16.5" customHeight="1"/>
    <x:row r="416" ht="16.5" customHeight="1"/>
    <x:row r="417" ht="16.5" customHeight="1"/>
    <x:row r="418" ht="16.5" customHeight="1"/>
    <x:row r="419" ht="16.5" customHeight="1"/>
    <x:row r="420" ht="16.5" customHeight="1"/>
    <x:row r="421" ht="16.5" customHeight="1"/>
    <x:row r="422" ht="16.5" customHeight="1"/>
    <x:row r="423" ht="16.5" customHeight="1"/>
    <x:row r="424" ht="16.5" customHeight="1"/>
    <x:row r="425" ht="16.5" customHeight="1"/>
    <x:row r="426" ht="16.5" customHeight="1"/>
    <x:row r="427" ht="16.5" customHeight="1"/>
    <x:row r="428" ht="16.5" customHeight="1"/>
    <x:row r="429" ht="16.5" customHeight="1"/>
    <x:row r="430" ht="16.5" customHeight="1"/>
    <x:row r="431" ht="16.5" customHeight="1"/>
    <x:row r="432" ht="16.5" customHeight="1"/>
    <x:row r="433" ht="16.5" customHeight="1"/>
    <x:row r="434" ht="16.5" customHeight="1"/>
    <x:row r="435" ht="16.5" customHeight="1"/>
    <x:row r="436" ht="16.5" customHeight="1"/>
    <x:row r="437" ht="16.5" customHeight="1"/>
    <x:row r="438" ht="16.5" customHeight="1"/>
    <x:row r="439" ht="16.5" customHeight="1"/>
    <x:row r="440" ht="16.5" customHeight="1"/>
    <x:row r="441" ht="16.5" customHeight="1"/>
    <x:row r="442" ht="16.5" customHeight="1"/>
    <x:row r="443" ht="16.5" customHeight="1"/>
    <x:row r="444" ht="16.5" customHeight="1"/>
    <x:row r="445" ht="16.5" customHeight="1"/>
    <x:row r="446" ht="16.5" customHeight="1"/>
    <x:row r="447" ht="16.5" customHeight="1"/>
    <x:row r="448" ht="16.5" customHeight="1"/>
    <x:row r="449" ht="16.5" customHeight="1"/>
    <x:row r="450" ht="16.5" customHeight="1"/>
    <x:row r="451" ht="16.5" customHeight="1"/>
    <x:row r="452" ht="16.5" customHeight="1"/>
    <x:row r="453" ht="16.5" customHeight="1"/>
    <x:row r="454" ht="16.5" customHeight="1"/>
    <x:row r="455" ht="16.5" customHeight="1"/>
    <x:row r="456" ht="16.5" customHeight="1"/>
    <x:row r="457" ht="16.5" customHeight="1"/>
    <x:row r="458" ht="16.5" customHeight="1"/>
    <x:row r="459" ht="16.5" customHeight="1"/>
    <x:row r="460" ht="16.5" customHeight="1"/>
    <x:row r="461" ht="16.5" customHeight="1"/>
    <x:row r="462" ht="16.5" customHeight="1"/>
    <x:row r="463" ht="16.5" customHeight="1"/>
    <x:row r="464" ht="16.5" customHeight="1"/>
    <x:row r="465" ht="16.5" customHeight="1"/>
    <x:row r="466" ht="16.5" customHeight="1"/>
    <x:row r="467" ht="16.5" customHeight="1"/>
    <x:row r="468" ht="16.5" customHeight="1"/>
    <x:row r="469" ht="16.5" customHeight="1"/>
    <x:row r="470" ht="16.5" customHeight="1"/>
    <x:row r="471" ht="16.5" customHeight="1"/>
    <x:row r="472" ht="16.5" customHeight="1"/>
    <x:row r="473" ht="16.5" customHeight="1"/>
    <x:row r="474" ht="16.5" customHeight="1"/>
    <x:row r="475" ht="16.5" customHeight="1"/>
    <x:row r="476" ht="16.5" customHeight="1"/>
    <x:row r="477" ht="16.5" customHeight="1"/>
    <x:row r="478" ht="16.5" customHeight="1"/>
    <x:row r="479" ht="16.5" customHeight="1"/>
    <x:row r="480" ht="16.5" customHeight="1"/>
    <x:row r="481" ht="16.5" customHeight="1"/>
    <x:row r="482" ht="16.5" customHeight="1"/>
    <x:row r="483" ht="16.5" customHeight="1"/>
    <x:row r="484" ht="16.5" customHeight="1"/>
    <x:row r="485" ht="16.5" customHeight="1"/>
    <x:row r="486" ht="16.5" customHeight="1"/>
    <x:row r="487" ht="16.5" customHeight="1"/>
    <x:row r="488" ht="16.5" customHeight="1"/>
    <x:row r="489" ht="16.5" customHeight="1"/>
    <x:row r="490" ht="16.5" customHeight="1"/>
    <x:row r="491" ht="16.5" customHeight="1"/>
    <x:row r="492" ht="16.5" customHeight="1"/>
    <x:row r="493" ht="16.5" customHeight="1"/>
    <x:row r="494" ht="16.5" customHeight="1"/>
    <x:row r="495" ht="16.5" customHeight="1"/>
    <x:row r="496" ht="16.5" customHeight="1"/>
    <x:row r="497" ht="16.5" customHeight="1"/>
    <x:row r="498" ht="16.5" customHeight="1"/>
    <x:row r="499" ht="16.5" customHeight="1"/>
    <x:row r="500" ht="16.5" customHeight="1"/>
    <x:row r="501" ht="16.5" customHeight="1"/>
    <x:row r="502" ht="16.5" customHeight="1"/>
    <x:row r="503" ht="16.5" customHeight="1"/>
    <x:row r="504" ht="16.5" customHeight="1"/>
    <x:row r="505" ht="16.5" customHeight="1"/>
    <x:row r="506" ht="16.5" customHeight="1"/>
    <x:row r="507" ht="16.5" customHeight="1"/>
    <x:row r="508" ht="16.5" customHeight="1"/>
    <x:row r="509" ht="16.5" customHeight="1"/>
    <x:row r="510" ht="16.5" customHeight="1"/>
    <x:row r="511" ht="16.5" customHeight="1"/>
    <x:row r="512" ht="16.5" customHeight="1"/>
    <x:row r="513" ht="16.5" customHeight="1"/>
    <x:row r="514" ht="16.5" customHeight="1"/>
    <x:row r="515" ht="16.5" customHeight="1"/>
    <x:row r="516" ht="16.5" customHeight="1"/>
    <x:row r="517" ht="16.5" customHeight="1"/>
    <x:row r="518" ht="16.5" customHeight="1"/>
    <x:row r="519" ht="16.5" customHeight="1"/>
    <x:row r="520" ht="16.5" customHeight="1"/>
    <x:row r="521" ht="16.5" customHeight="1"/>
    <x:row r="522" ht="16.5" customHeight="1"/>
    <x:row r="523" ht="16.5" customHeight="1"/>
    <x:row r="524" ht="16.5" customHeight="1"/>
    <x:row r="525" ht="16.5" customHeight="1"/>
    <x:row r="526" ht="16.5" customHeight="1"/>
    <x:row r="527" ht="16.5" customHeight="1"/>
    <x:row r="528" ht="16.5" customHeight="1"/>
    <x:row r="529" ht="16.5" customHeight="1"/>
    <x:row r="530" ht="16.5" customHeight="1"/>
    <x:row r="531" ht="16.5" customHeight="1"/>
    <x:row r="532" ht="16.5" customHeight="1"/>
    <x:row r="533" ht="16.5" customHeight="1"/>
    <x:row r="534" ht="16.5" customHeight="1"/>
    <x:row r="535" ht="16.5" customHeight="1"/>
    <x:row r="536" ht="16.5" customHeight="1"/>
    <x:row r="537" ht="16.5" customHeight="1"/>
    <x:row r="538" ht="16.5" customHeight="1"/>
    <x:row r="539" ht="16.5" customHeight="1"/>
    <x:row r="540" ht="16.5" customHeight="1"/>
    <x:row r="541" ht="16.5" customHeight="1"/>
    <x:row r="542" ht="16.5" customHeight="1"/>
    <x:row r="543" ht="16.5" customHeight="1"/>
    <x:row r="544" ht="16.5" customHeight="1"/>
    <x:row r="545" ht="16.5" customHeight="1"/>
    <x:row r="546" ht="16.5" customHeight="1"/>
    <x:row r="547" ht="16.5" customHeight="1"/>
    <x:row r="548" ht="16.5" customHeight="1"/>
    <x:row r="549" ht="16.5" customHeight="1"/>
    <x:row r="550" ht="16.5" customHeight="1"/>
    <x:row r="551" ht="16.5" customHeight="1"/>
    <x:row r="552" ht="16.5" customHeight="1"/>
    <x:row r="553" ht="16.5" customHeight="1"/>
    <x:row r="554" ht="16.5" customHeight="1"/>
    <x:row r="555" ht="16.5" customHeight="1"/>
    <x:row r="556" ht="16.5" customHeight="1"/>
    <x:row r="557" ht="16.5" customHeight="1"/>
    <x:row r="558" ht="16.5" customHeight="1"/>
    <x:row r="559" ht="16.5" customHeight="1"/>
    <x:row r="560" ht="16.5" customHeight="1"/>
    <x:row r="561" ht="16.5" customHeight="1"/>
    <x:row r="562" ht="16.5" customHeight="1"/>
    <x:row r="563" ht="16.5" customHeight="1"/>
    <x:row r="564" ht="16.5" customHeight="1"/>
    <x:row r="565" ht="16.5" customHeight="1"/>
    <x:row r="566" ht="16.5" customHeight="1"/>
    <x:row r="567" ht="16.5" customHeight="1"/>
    <x:row r="568" ht="16.5" customHeight="1"/>
    <x:row r="569" ht="16.5" customHeight="1"/>
    <x:row r="570" ht="16.5" customHeight="1"/>
    <x:row r="571" ht="16.5" customHeight="1"/>
    <x:row r="572" ht="16.5" customHeight="1"/>
    <x:row r="573" ht="16.5" customHeight="1"/>
    <x:row r="574" ht="16.5" customHeight="1"/>
    <x:row r="575" ht="16.5" customHeight="1"/>
    <x:row r="576" ht="16.5" customHeight="1"/>
    <x:row r="577" ht="16.5" customHeight="1"/>
    <x:row r="578" ht="16.5" customHeight="1"/>
    <x:row r="579" ht="16.5" customHeight="1"/>
    <x:row r="580" ht="16.5" customHeight="1"/>
    <x:row r="581" ht="16.5" customHeight="1"/>
    <x:row r="582" ht="16.5" customHeight="1"/>
    <x:row r="583" ht="16.5" customHeight="1"/>
    <x:row r="584" ht="16.5" customHeight="1"/>
    <x:row r="585" ht="16.5" customHeight="1"/>
    <x:row r="586" ht="16.5" customHeight="1"/>
    <x:row r="587" ht="16.5" customHeight="1"/>
    <x:row r="588" ht="16.5" customHeight="1"/>
    <x:row r="589" ht="16.5" customHeight="1"/>
    <x:row r="590" ht="16.5" customHeight="1"/>
    <x:row r="591" ht="16.5" customHeight="1"/>
    <x:row r="592" ht="16.5" customHeight="1"/>
    <x:row r="593" ht="16.5" customHeight="1"/>
    <x:row r="594" ht="16.5" customHeight="1"/>
    <x:row r="595" ht="16.5" customHeight="1"/>
    <x:row r="596" ht="16.5" customHeight="1"/>
    <x:row r="597" ht="16.5" customHeight="1"/>
    <x:row r="598" ht="16.5" customHeight="1"/>
    <x:row r="599" ht="16.5" customHeight="1"/>
    <x:row r="600" ht="16.5" customHeight="1"/>
    <x:row r="601" ht="16.5" customHeight="1"/>
    <x:row r="602" ht="16.5" customHeight="1"/>
    <x:row r="603" ht="16.5" customHeight="1"/>
    <x:row r="604" ht="16.5" customHeight="1"/>
    <x:row r="605" ht="16.5" customHeight="1"/>
    <x:row r="606" ht="16.5" customHeight="1"/>
    <x:row r="607" ht="16.5" customHeight="1"/>
    <x:row r="608" ht="16.5" customHeight="1"/>
    <x:row r="609" ht="16.5" customHeight="1"/>
    <x:row r="610" ht="16.5" customHeight="1"/>
    <x:row r="611" ht="16.5" customHeight="1"/>
    <x:row r="612" ht="16.5" customHeight="1"/>
    <x:row r="613" ht="16.5" customHeight="1"/>
    <x:row r="614" ht="16.5" customHeight="1"/>
    <x:row r="615" ht="16.5" customHeight="1"/>
    <x:row r="616" ht="16.5" customHeight="1"/>
    <x:row r="617" ht="16.5" customHeight="1"/>
    <x:row r="618" ht="16.5" customHeight="1"/>
    <x:row r="619" ht="16.5" customHeight="1"/>
    <x:row r="620" ht="16.5" customHeight="1"/>
    <x:row r="621" ht="16.5" customHeight="1"/>
    <x:row r="622" ht="16.5" customHeight="1"/>
    <x:row r="623" ht="16.5" customHeight="1"/>
    <x:row r="624" ht="16.5" customHeight="1"/>
    <x:row r="625" ht="16.5" customHeight="1"/>
    <x:row r="626" ht="16.5" customHeight="1"/>
    <x:row r="627" ht="16.5" customHeight="1"/>
    <x:row r="628" ht="16.5" customHeight="1"/>
    <x:row r="629" ht="16.5" customHeight="1"/>
    <x:row r="630" ht="16.5" customHeight="1"/>
    <x:row r="631" ht="16.5" customHeight="1"/>
    <x:row r="632" ht="16.5" customHeight="1"/>
    <x:row r="633" ht="16.5" customHeight="1"/>
    <x:row r="634" ht="16.5" customHeight="1"/>
    <x:row r="635" ht="16.5" customHeight="1"/>
    <x:row r="636" ht="16.5" customHeight="1"/>
    <x:row r="637" ht="16.5" customHeight="1"/>
    <x:row r="638" ht="16.5" customHeight="1"/>
    <x:row r="639" ht="16.5" customHeight="1"/>
    <x:row r="640" ht="16.5" customHeight="1"/>
    <x:row r="641" ht="16.5" customHeight="1"/>
    <x:row r="642" ht="16.5" customHeight="1"/>
    <x:row r="643" ht="16.5" customHeight="1"/>
    <x:row r="644" ht="16.5" customHeight="1"/>
    <x:row r="645" ht="16.5" customHeight="1"/>
    <x:row r="646" ht="16.5" customHeight="1"/>
    <x:row r="647" ht="16.5" customHeight="1"/>
    <x:row r="648" ht="16.5" customHeight="1"/>
    <x:row r="649" ht="16.5" customHeight="1"/>
    <x:row r="650" ht="16.5" customHeight="1"/>
    <x:row r="651" ht="16.5" customHeight="1"/>
    <x:row r="652" ht="16.5" customHeight="1"/>
    <x:row r="653" ht="16.5" customHeight="1"/>
    <x:row r="654" ht="16.5" customHeight="1"/>
    <x:row r="655" ht="16.5" customHeight="1"/>
    <x:row r="656" ht="16.5" customHeight="1"/>
    <x:row r="657" ht="16.5" customHeight="1"/>
    <x:row r="658" ht="16.5" customHeight="1"/>
    <x:row r="659" ht="16.5" customHeight="1"/>
    <x:row r="660" ht="16.5" customHeight="1"/>
    <x:row r="661" ht="16.5" customHeight="1"/>
    <x:row r="662" ht="16.5" customHeight="1"/>
    <x:row r="663" ht="16.5" customHeight="1"/>
    <x:row r="664" ht="16.5" customHeight="1"/>
    <x:row r="665" ht="16.5" customHeight="1"/>
    <x:row r="666" ht="16.5" customHeight="1"/>
    <x:row r="667" ht="16.5" customHeight="1"/>
    <x:row r="668" ht="16.5" customHeight="1"/>
    <x:row r="669" ht="16.5" customHeight="1"/>
    <x:row r="670" ht="16.5" customHeight="1"/>
    <x:row r="671" ht="16.5" customHeight="1"/>
    <x:row r="672" ht="16.5" customHeight="1"/>
    <x:row r="673" ht="16.5" customHeight="1"/>
    <x:row r="674" ht="16.5" customHeight="1"/>
    <x:row r="675" ht="16.5" customHeight="1"/>
    <x:row r="676" ht="16.5" customHeight="1"/>
    <x:row r="677" ht="16.5" customHeight="1"/>
    <x:row r="678" ht="16.5" customHeight="1"/>
    <x:row r="679" ht="16.5" customHeight="1"/>
    <x:row r="680" ht="16.5" customHeight="1"/>
    <x:row r="681" ht="16.5" customHeight="1"/>
    <x:row r="682" ht="16.5" customHeight="1"/>
    <x:row r="683" ht="16.5" customHeight="1"/>
    <x:row r="684" ht="16.5" customHeight="1"/>
    <x:row r="685" ht="16.5" customHeight="1"/>
    <x:row r="686" ht="16.5" customHeight="1"/>
    <x:row r="687" ht="16.5" customHeight="1"/>
    <x:row r="688" ht="16.5" customHeight="1"/>
    <x:row r="689" ht="16.5" customHeight="1"/>
    <x:row r="690" ht="16.5" customHeight="1"/>
    <x:row r="691" ht="16.5" customHeight="1"/>
    <x:row r="692" ht="16.5" customHeight="1"/>
    <x:row r="693" ht="16.5" customHeight="1"/>
    <x:row r="694" ht="16.5" customHeight="1"/>
    <x:row r="695" ht="16.5" customHeight="1"/>
    <x:row r="696" ht="16.5" customHeight="1"/>
    <x:row r="697" ht="16.5" customHeight="1"/>
    <x:row r="698" ht="16.5" customHeight="1"/>
    <x:row r="699" ht="16.5" customHeight="1"/>
    <x:row r="700" ht="16.5" customHeight="1"/>
    <x:row r="701" ht="16.5" customHeight="1"/>
    <x:row r="702" ht="16.5" customHeight="1"/>
    <x:row r="703" ht="16.5" customHeight="1"/>
    <x:row r="704" ht="16.5" customHeight="1"/>
    <x:row r="705" ht="16.5" customHeight="1"/>
    <x:row r="706" ht="16.5" customHeight="1"/>
    <x:row r="707" ht="16.5" customHeight="1"/>
    <x:row r="708" ht="16.5" customHeight="1"/>
    <x:row r="709" ht="16.5" customHeight="1"/>
    <x:row r="710" ht="16.5" customHeight="1"/>
    <x:row r="711" ht="16.5" customHeight="1"/>
    <x:row r="712" ht="16.5" customHeight="1"/>
    <x:row r="713" ht="16.5" customHeight="1"/>
    <x:row r="714" ht="16.5" customHeight="1"/>
    <x:row r="715" ht="16.5" customHeight="1"/>
    <x:row r="716" ht="16.5" customHeight="1"/>
    <x:row r="717" ht="16.5" customHeight="1"/>
    <x:row r="718" ht="16.5" customHeight="1"/>
    <x:row r="719" ht="16.5" customHeight="1"/>
    <x:row r="720" ht="16.5" customHeight="1"/>
    <x:row r="721" ht="16.5" customHeight="1"/>
    <x:row r="722" ht="16.5" customHeight="1"/>
    <x:row r="723" ht="16.5" customHeight="1"/>
    <x:row r="724" ht="16.5" customHeight="1"/>
    <x:row r="725" ht="16.5" customHeight="1"/>
    <x:row r="726" ht="16.5" customHeight="1"/>
    <x:row r="727" ht="16.5" customHeight="1"/>
    <x:row r="728" ht="16.5" customHeight="1"/>
    <x:row r="729" ht="16.5" customHeight="1"/>
    <x:row r="730" ht="16.5" customHeight="1"/>
    <x:row r="731" ht="16.5" customHeight="1"/>
    <x:row r="732" ht="16.5" customHeight="1"/>
    <x:row r="733" ht="16.5" customHeight="1"/>
    <x:row r="734" ht="16.5" customHeight="1"/>
    <x:row r="735" ht="16.5" customHeight="1"/>
    <x:row r="736" ht="16.5" customHeight="1"/>
    <x:row r="737" ht="16.5" customHeight="1"/>
    <x:row r="738" ht="16.5" customHeight="1"/>
    <x:row r="739" ht="16.5" customHeight="1"/>
    <x:row r="740" ht="16.5" customHeight="1"/>
    <x:row r="741" ht="16.5" customHeight="1"/>
    <x:row r="742" ht="16.5" customHeight="1"/>
    <x:row r="743" ht="16.5" customHeight="1"/>
    <x:row r="744" ht="16.5" customHeight="1"/>
    <x:row r="745" ht="16.5" customHeight="1"/>
    <x:row r="746" ht="16.5" customHeight="1"/>
    <x:row r="747" ht="16.5" customHeight="1"/>
    <x:row r="748" ht="16.5" customHeight="1"/>
    <x:row r="749" ht="16.5" customHeight="1"/>
    <x:row r="750" ht="16.5" customHeight="1"/>
    <x:row r="751" ht="16.5" customHeight="1"/>
    <x:row r="752" ht="16.5" customHeight="1"/>
    <x:row r="753" ht="16.5" customHeight="1"/>
    <x:row r="754" ht="16.5" customHeight="1"/>
    <x:row r="755" ht="16.5" customHeight="1"/>
    <x:row r="756" ht="16.5" customHeight="1"/>
    <x:row r="757" ht="16.5" customHeight="1"/>
    <x:row r="758" ht="16.5" customHeight="1"/>
    <x:row r="759" ht="16.5" customHeight="1"/>
    <x:row r="760" ht="16.5" customHeight="1"/>
    <x:row r="761" ht="16.5" customHeight="1"/>
    <x:row r="762" ht="16.5" customHeight="1"/>
    <x:row r="763" ht="16.5" customHeight="1"/>
    <x:row r="764" ht="16.5" customHeight="1"/>
    <x:row r="765" ht="16.5" customHeight="1"/>
    <x:row r="766" ht="16.5" customHeight="1"/>
    <x:row r="767" ht="16.5" customHeight="1"/>
    <x:row r="768" ht="16.5" customHeight="1"/>
    <x:row r="769" ht="16.5" customHeight="1"/>
    <x:row r="770" ht="16.5" customHeight="1"/>
    <x:row r="771" ht="16.5" customHeight="1"/>
    <x:row r="772" ht="16.5" customHeight="1"/>
    <x:row r="773" ht="16.5" customHeight="1"/>
    <x:row r="774" ht="16.5" customHeight="1"/>
    <x:row r="775" ht="16.5" customHeight="1"/>
    <x:row r="776" ht="16.5" customHeight="1"/>
    <x:row r="777" ht="16.5" customHeight="1"/>
    <x:row r="778" ht="16.5" customHeight="1"/>
    <x:row r="779" ht="16.5" customHeight="1"/>
    <x:row r="780" ht="16.5" customHeight="1"/>
    <x:row r="781" ht="16.5" customHeight="1"/>
    <x:row r="782" ht="16.5" customHeight="1"/>
    <x:row r="783" ht="16.5" customHeight="1"/>
    <x:row r="784" ht="16.5" customHeight="1"/>
    <x:row r="785" ht="16.5" customHeight="1"/>
    <x:row r="786" ht="16.5" customHeight="1"/>
    <x:row r="787" ht="16.5" customHeight="1"/>
    <x:row r="788" ht="16.5" customHeight="1"/>
    <x:row r="789" ht="16.5" customHeight="1"/>
    <x:row r="790" ht="16.5" customHeight="1"/>
    <x:row r="791" ht="16.5" customHeight="1"/>
    <x:row r="792" ht="16.5" customHeight="1"/>
    <x:row r="793" ht="16.5" customHeight="1"/>
    <x:row r="794" ht="16.5" customHeight="1"/>
    <x:row r="795" ht="16.5" customHeight="1"/>
    <x:row r="796" ht="16.5" customHeight="1"/>
    <x:row r="797" ht="16.5" customHeight="1"/>
    <x:row r="798" ht="16.5" customHeight="1"/>
    <x:row r="799" ht="16.5" customHeight="1"/>
    <x:row r="800" ht="16.5" customHeight="1"/>
    <x:row r="801" ht="16.5" customHeight="1"/>
    <x:row r="802" ht="16.5" customHeight="1"/>
    <x:row r="803" ht="16.5" customHeight="1"/>
    <x:row r="804" ht="16.5" customHeight="1"/>
    <x:row r="805" ht="16.5" customHeight="1"/>
    <x:row r="806" ht="16.5" customHeight="1"/>
    <x:row r="807" ht="16.5" customHeight="1"/>
    <x:row r="808" ht="16.5" customHeight="1"/>
    <x:row r="809" ht="16.5" customHeight="1"/>
    <x:row r="810" ht="16.5" customHeight="1"/>
    <x:row r="811" ht="16.5" customHeight="1"/>
    <x:row r="812" ht="16.5" customHeight="1"/>
    <x:row r="813" ht="16.5" customHeight="1"/>
    <x:row r="814" ht="16.5" customHeight="1"/>
    <x:row r="815" ht="16.5" customHeight="1"/>
    <x:row r="816" ht="16.5" customHeight="1"/>
    <x:row r="817" ht="16.5" customHeight="1"/>
    <x:row r="818" ht="16.5" customHeight="1"/>
    <x:row r="819" ht="16.5" customHeight="1"/>
    <x:row r="820" ht="16.5" customHeight="1"/>
    <x:row r="821" ht="16.5" customHeight="1"/>
    <x:row r="822" ht="16.5" customHeight="1"/>
    <x:row r="823" ht="16.5" customHeight="1"/>
    <x:row r="824" ht="16.5" customHeight="1"/>
    <x:row r="825" ht="16.5" customHeight="1"/>
    <x:row r="826" ht="16.5" customHeight="1"/>
    <x:row r="827" ht="16.5" customHeight="1"/>
    <x:row r="828" ht="16.5" customHeight="1"/>
    <x:row r="829" ht="16.5" customHeight="1"/>
    <x:row r="830" ht="16.5" customHeight="1"/>
    <x:row r="831" ht="16.5" customHeight="1"/>
    <x:row r="832" ht="16.5" customHeight="1"/>
    <x:row r="833" ht="16.5" customHeight="1"/>
    <x:row r="834" ht="16.5" customHeight="1"/>
    <x:row r="835" ht="16.5" customHeight="1"/>
    <x:row r="836" ht="16.5" customHeight="1"/>
    <x:row r="837" ht="16.5" customHeight="1"/>
    <x:row r="838" ht="16.5" customHeight="1"/>
    <x:row r="839" ht="16.5" customHeight="1"/>
    <x:row r="840" ht="16.5" customHeight="1"/>
    <x:row r="841" ht="16.5" customHeight="1"/>
    <x:row r="842" ht="16.5" customHeight="1"/>
    <x:row r="843" ht="16.5" customHeight="1"/>
    <x:row r="844" ht="16.5" customHeight="1"/>
    <x:row r="845" ht="16.5" customHeight="1"/>
    <x:row r="846" ht="16.5" customHeight="1"/>
    <x:row r="847" ht="16.5" customHeight="1"/>
    <x:row r="848" ht="16.5" customHeight="1"/>
    <x:row r="849" ht="16.5" customHeight="1"/>
    <x:row r="850" ht="16.5" customHeight="1"/>
    <x:row r="851" ht="16.5" customHeight="1"/>
    <x:row r="852" ht="16.5" customHeight="1"/>
    <x:row r="853" ht="16.5" customHeight="1"/>
    <x:row r="854" ht="16.5" customHeight="1"/>
    <x:row r="855" ht="16.5" customHeight="1"/>
    <x:row r="856" ht="16.5" customHeight="1"/>
    <x:row r="857" ht="16.5" customHeight="1"/>
    <x:row r="858" ht="16.5" customHeight="1"/>
    <x:row r="859" ht="16.5" customHeight="1"/>
    <x:row r="860" ht="16.5" customHeight="1"/>
    <x:row r="861" ht="16.5" customHeight="1"/>
    <x:row r="862" ht="16.5" customHeight="1"/>
    <x:row r="863" ht="16.5" customHeight="1"/>
    <x:row r="864" ht="16.5" customHeight="1"/>
    <x:row r="865" ht="16.5" customHeight="1"/>
    <x:row r="866" ht="16.5" customHeight="1"/>
    <x:row r="867" ht="16.5" customHeight="1"/>
    <x:row r="868" ht="16.5" customHeight="1"/>
    <x:row r="869" ht="16.5" customHeight="1"/>
    <x:row r="870" ht="16.5" customHeight="1"/>
    <x:row r="871" ht="16.5" customHeight="1"/>
    <x:row r="872" ht="16.5" customHeight="1"/>
    <x:row r="873" ht="16.5" customHeight="1"/>
    <x:row r="874" ht="16.5" customHeight="1"/>
    <x:row r="875" ht="16.5" customHeight="1"/>
    <x:row r="876" ht="16.5" customHeight="1"/>
    <x:row r="877" ht="16.5" customHeight="1"/>
    <x:row r="878" ht="16.5" customHeight="1"/>
    <x:row r="879" ht="16.5" customHeight="1"/>
    <x:row r="880" ht="16.5" customHeight="1"/>
    <x:row r="881" ht="16.5" customHeight="1"/>
    <x:row r="882" ht="16.5" customHeight="1"/>
    <x:row r="883" ht="16.5" customHeight="1"/>
    <x:row r="884" ht="16.5" customHeight="1"/>
    <x:row r="885" ht="16.5" customHeight="1"/>
    <x:row r="886" ht="16.5" customHeight="1"/>
    <x:row r="887" ht="16.5" customHeight="1"/>
    <x:row r="888" ht="16.5" customHeight="1"/>
    <x:row r="889" ht="16.5" customHeight="1"/>
    <x:row r="890" ht="16.5" customHeight="1"/>
    <x:row r="891" ht="16.5" customHeight="1"/>
    <x:row r="892" ht="16.5" customHeight="1"/>
    <x:row r="893" ht="16.5" customHeight="1"/>
    <x:row r="894" ht="16.5" customHeight="1"/>
    <x:row r="895" ht="16.5" customHeight="1"/>
    <x:row r="896" ht="16.5" customHeight="1"/>
    <x:row r="897" ht="16.5" customHeight="1"/>
    <x:row r="898" ht="16.5" customHeight="1"/>
    <x:row r="899" ht="16.5" customHeight="1"/>
    <x:row r="900" ht="16.5" customHeight="1"/>
    <x:row r="901" ht="16.5" customHeight="1"/>
    <x:row r="902" ht="16.5" customHeight="1"/>
    <x:row r="903" ht="16.5" customHeight="1"/>
    <x:row r="904" ht="16.5" customHeight="1"/>
    <x:row r="905" ht="16.5" customHeight="1"/>
    <x:row r="906" ht="16.5" customHeight="1"/>
    <x:row r="907" ht="16.5" customHeight="1"/>
    <x:row r="908" ht="16.5" customHeight="1"/>
    <x:row r="909" ht="16.5" customHeight="1"/>
    <x:row r="910" ht="16.5" customHeight="1"/>
    <x:row r="911" ht="16.5" customHeight="1"/>
    <x:row r="912" ht="16.5" customHeight="1"/>
    <x:row r="913" ht="16.5" customHeight="1"/>
    <x:row r="914" ht="16.5" customHeight="1"/>
    <x:row r="915" ht="16.5" customHeight="1"/>
    <x:row r="916" ht="16.5" customHeight="1"/>
    <x:row r="917" ht="16.5" customHeight="1"/>
    <x:row r="918" ht="16.5" customHeight="1"/>
    <x:row r="919" ht="16.5" customHeight="1"/>
    <x:row r="920" ht="16.5" customHeight="1"/>
    <x:row r="921" ht="16.5" customHeight="1"/>
    <x:row r="922" ht="16.5" customHeight="1"/>
    <x:row r="923" ht="16.5" customHeight="1"/>
    <x:row r="924" ht="16.5" customHeight="1"/>
    <x:row r="925" ht="16.5" customHeight="1"/>
    <x:row r="926" ht="16.5" customHeight="1"/>
    <x:row r="927" ht="16.5" customHeight="1"/>
    <x:row r="928" ht="16.5" customHeight="1"/>
    <x:row r="929" ht="16.5" customHeight="1"/>
    <x:row r="930" ht="16.5" customHeight="1"/>
    <x:row r="931" ht="16.5" customHeight="1"/>
    <x:row r="932" ht="16.5" customHeight="1"/>
    <x:row r="933" ht="16.5" customHeight="1"/>
    <x:row r="934" ht="16.5" customHeight="1"/>
    <x:row r="935" ht="16.5" customHeight="1"/>
    <x:row r="936" ht="16.5" customHeight="1"/>
    <x:row r="937" ht="16.5" customHeight="1"/>
    <x:row r="938" ht="16.5" customHeight="1"/>
    <x:row r="939" ht="16.5" customHeight="1"/>
    <x:row r="940" ht="16.5" customHeight="1"/>
    <x:row r="941" ht="16.5" customHeight="1"/>
    <x:row r="942" ht="16.5" customHeight="1"/>
    <x:row r="943" ht="16.5" customHeight="1"/>
    <x:row r="944" ht="16.5" customHeight="1"/>
    <x:row r="945" ht="16.5" customHeight="1"/>
    <x:row r="946" ht="16.5" customHeight="1"/>
    <x:row r="947" ht="16.5" customHeight="1"/>
    <x:row r="948" ht="16.5" customHeight="1"/>
    <x:row r="949" ht="16.5" customHeight="1"/>
    <x:row r="950" ht="16.5" customHeight="1"/>
    <x:row r="951" ht="16.5" customHeight="1"/>
    <x:row r="952" ht="16.5" customHeight="1"/>
    <x:row r="953" ht="16.5" customHeight="1"/>
    <x:row r="954" ht="16.5" customHeight="1"/>
    <x:row r="955" ht="16.5" customHeight="1"/>
    <x:row r="956" ht="16.5" customHeight="1"/>
    <x:row r="957" ht="16.5" customHeight="1"/>
    <x:row r="958" ht="16.5" customHeight="1"/>
    <x:row r="959" ht="16.5" customHeight="1"/>
    <x:row r="960" ht="16.5" customHeight="1"/>
    <x:row r="961" ht="16.5" customHeight="1"/>
    <x:row r="962" ht="16.5" customHeight="1"/>
    <x:row r="963" ht="16.5" customHeight="1"/>
    <x:row r="964" ht="16.5" customHeight="1"/>
    <x:row r="965" ht="16.5" customHeight="1"/>
    <x:row r="966" ht="16.5" customHeight="1"/>
    <x:row r="967" ht="16.5" customHeight="1"/>
    <x:row r="968" ht="16.5" customHeight="1"/>
    <x:row r="969" ht="16.5" customHeight="1"/>
    <x:row r="970" ht="16.5" customHeight="1"/>
    <x:row r="971" ht="16.5" customHeight="1"/>
    <x:row r="972" ht="16.5" customHeight="1"/>
    <x:row r="973" ht="16.5" customHeight="1"/>
    <x:row r="974" ht="16.5" customHeight="1"/>
    <x:row r="975" ht="16.5" customHeight="1"/>
    <x:row r="976" ht="16.5" customHeight="1"/>
    <x:row r="977" ht="16.5" customHeight="1"/>
    <x:row r="978" ht="16.5" customHeight="1"/>
    <x:row r="979" ht="16.5" customHeight="1"/>
    <x:row r="980" ht="16.5" customHeight="1"/>
    <x:row r="981" ht="16.5" customHeight="1"/>
    <x:row r="982" ht="16.5" customHeight="1"/>
    <x:row r="983" ht="16.5" customHeight="1"/>
    <x:row r="984" ht="16.5" customHeight="1"/>
    <x:row r="985" ht="16.5" customHeight="1"/>
    <x:row r="986" ht="16.5" customHeight="1"/>
    <x:row r="987" ht="16.5" customHeight="1"/>
    <x:row r="988" ht="16.5" customHeight="1"/>
    <x:row r="989" ht="16.5" customHeight="1"/>
    <x:row r="990" ht="16.5" customHeight="1"/>
    <x:row r="991" ht="16.5" customHeight="1"/>
    <x:row r="992" ht="16.5" customHeight="1"/>
    <x:row r="993" ht="16.5" customHeight="1"/>
    <x:row r="994" ht="16.5" customHeight="1"/>
    <x:row r="995" ht="16.5" customHeight="1"/>
    <x:row r="996" ht="16.5" customHeight="1"/>
    <x:row r="997" ht="16.5" customHeight="1"/>
    <x:row r="998" ht="16.5" customHeight="1"/>
  </x:sheetData>
  <x:mergeCells>
    <x:mergeCell ref="B46:B48"/>
    <x:mergeCell ref="B49:B51"/>
    <x:mergeCell ref="C49:C51"/>
    <x:mergeCell ref="E49:E51"/>
    <x:mergeCell ref="F49:F51"/>
    <x:mergeCell ref="B52:B53"/>
    <x:mergeCell ref="C52:C53"/>
    <x:mergeCell ref="B54:B55"/>
    <x:mergeCell ref="C54:C55"/>
    <x:mergeCell ref="E54:E55"/>
    <x:mergeCell ref="F54:F55"/>
    <x:mergeCell ref="C56:C58"/>
    <x:mergeCell ref="E56:E58"/>
    <x:mergeCell ref="F56:F58"/>
    <x:mergeCell ref="B2:G2"/>
    <x:mergeCell ref="H5:H6"/>
    <x:mergeCell ref="B25:F25"/>
    <x:mergeCell ref="B28:B31"/>
    <x:mergeCell ref="C28:C31"/>
    <x:mergeCell ref="E28:E31"/>
    <x:mergeCell ref="F28:F31"/>
    <x:mergeCell ref="B32:B34"/>
    <x:mergeCell ref="C32:C34"/>
    <x:mergeCell ref="E32:E34"/>
    <x:mergeCell ref="F32:F34"/>
    <x:mergeCell ref="C35:C37"/>
    <x:mergeCell ref="E35:E37"/>
    <x:mergeCell ref="F35:F37"/>
    <x:mergeCell ref="E41:E43"/>
    <x:mergeCell ref="F41:F43"/>
    <x:mergeCell ref="B35:B37"/>
    <x:mergeCell ref="B38:B40"/>
    <x:mergeCell ref="C38:C40"/>
    <x:mergeCell ref="E38:E40"/>
    <x:mergeCell ref="F38:F40"/>
    <x:mergeCell ref="B41:B43"/>
    <x:mergeCell ref="C41:C43"/>
    <x:mergeCell ref="B44:B45"/>
    <x:mergeCell ref="C44:C45"/>
    <x:mergeCell ref="E44:E45"/>
    <x:mergeCell ref="F44:F45"/>
    <x:mergeCell ref="C46:C48"/>
    <x:mergeCell ref="E46:E48"/>
    <x:mergeCell ref="F46:F48"/>
    <x:mergeCell ref="E52:E53"/>
    <x:mergeCell ref="F52:F53"/>
    <x:mergeCell ref="E62:E63"/>
    <x:mergeCell ref="F62:F63"/>
    <x:mergeCell ref="B56:B58"/>
    <x:mergeCell ref="B59:B61"/>
    <x:mergeCell ref="C59:C61"/>
    <x:mergeCell ref="E59:E61"/>
    <x:mergeCell ref="F59:F61"/>
    <x:mergeCell ref="B62:B63"/>
    <x:mergeCell ref="C62:C6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8" customWidth="1"/>
    <x:col min="3" max="3" width="31.8799991607666" customWidth="1"/>
    <x:col min="4" max="4" width="31" customWidth="1"/>
    <x:col min="5" max="5" width="23.8799991607666" customWidth="1"/>
    <x:col min="6" max="6" width="19.1299991607666" customWidth="1"/>
    <x:col min="7" max="7" width="43.5" customWidth="1"/>
    <x:col min="8" max="8" width="30.25" customWidth="1"/>
    <x:col min="9" max="9" width="49.380001068115234" customWidth="1"/>
    <x:col min="10" max="10" width="48.130001068115234" customWidth="1"/>
    <x:col min="11" max="11" width="59.380001068115234" customWidth="1"/>
    <x:col min="12" max="12" width="66.37999725341797" customWidth="1"/>
  </x:cols>
  <x:sheetData>
    <x:row r="2">
      <x:c r="A2" s="5" t="s">
        <x:v>103</x:v>
      </x:c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</x:row>
    <x:row r="4">
      <x:c r="A4" s="24" t="s">
        <x:v>104</x:v>
      </x:c>
      <x:c r="B4" s="24" t="s">
        <x:v>105</x:v>
      </x:c>
      <x:c r="C4" s="24" t="s">
        <x:v>106</x:v>
      </x:c>
      <x:c r="D4" s="24" t="s">
        <x:v>107</x:v>
      </x:c>
      <x:c r="E4" s="24" t="s">
        <x:v>108</x:v>
      </x:c>
      <x:c r="F4" s="24" t="s">
        <x:v>109</x:v>
      </x:c>
      <x:c r="G4" s="24" t="s">
        <x:v>110</x:v>
      </x:c>
      <x:c r="H4" s="24" t="s">
        <x:v>111</x:v>
      </x:c>
      <x:c r="I4" s="24" t="s">
        <x:v>112</x:v>
      </x:c>
      <x:c r="J4" s="24" t="s">
        <x:v>113</x:v>
      </x:c>
      <x:c r="K4" s="24" t="s">
        <x:v>114</x:v>
      </x:c>
      <x:c r="L4" s="24" t="s">
        <x:v>115</x:v>
      </x:c>
      <x:c r="M4" s="16"/>
      <x:c r="N4" s="16"/>
      <x:c r="O4" s="16"/>
      <x:c r="P4" s="16"/>
      <x:c r="Q4" s="16"/>
      <x:c r="R4" s="16"/>
      <x:c r="S4" s="16"/>
      <x:c r="T4" s="16"/>
      <x:c r="U4" s="16"/>
      <x:c r="V4" s="16"/>
      <x:c r="W4" s="16"/>
    </x:row>
    <x:row r="5">
      <x:c r="A5" s="38" t="s">
        <x:v>116</x:v>
      </x:c>
      <x:c r="B5" s="38" t="s">
        <x:v>117</x:v>
      </x:c>
      <x:c r="C5" s="43" t="s">
        <x:v>118</x:v>
      </x:c>
      <x:c r="D5" s="43" t="s">
        <x:v>119</x:v>
      </x:c>
      <x:c r="E5" s="38" t="s">
        <x:v>120</x:v>
      </x:c>
      <x:c r="F5" s="38" t="s">
        <x:v>121</x:v>
      </x:c>
      <x:c r="G5" s="38" t="s">
        <x:v>122</x:v>
      </x:c>
      <x:c r="H5" s="49" t="s">
        <x:v>123</x:v>
      </x:c>
      <x:c r="I5" s="43" t="s">
        <x:v>124</x:v>
      </x:c>
      <x:c r="J5" s="38" t="s">
        <x:v>125</x:v>
      </x:c>
      <x:c r="K5" s="38" t="s">
        <x:v>126</x:v>
      </x:c>
      <x:c r="L5" s="43" t="s">
        <x:v>127</x:v>
      </x:c>
      <x:c r="M5" s="16"/>
      <x:c r="N5" s="16"/>
      <x:c r="O5" s="16"/>
      <x:c r="P5" s="16"/>
      <x:c r="Q5" s="16"/>
      <x:c r="R5" s="16"/>
      <x:c r="S5" s="16"/>
      <x:c r="T5" s="16"/>
      <x:c r="U5" s="16"/>
      <x:c r="V5" s="16"/>
      <x:c r="W5" s="16"/>
    </x:row>
    <x:row r="6">
      <x:c r="A6" s="59" t="s">
        <x:v>128</x:v>
      </x:c>
      <x:c r="B6" s="59" t="s">
        <x:v>117</x:v>
      </x:c>
      <x:c r="C6" s="61" t="s">
        <x:v>129</x:v>
      </x:c>
      <x:c r="D6" s="59" t="s">
        <x:v>130</x:v>
      </x:c>
      <x:c r="E6" s="64" t="s">
        <x:v>131</x:v>
      </x:c>
      <x:c r="F6" s="59" t="s">
        <x:v>132</x:v>
      </x:c>
      <x:c r="G6" s="59" t="s">
        <x:v>133</x:v>
      </x:c>
      <x:c r="H6" s="66" t="s">
        <x:v>134</x:v>
      </x:c>
      <x:c r="I6" s="64" t="s">
        <x:v>135</x:v>
      </x:c>
      <x:c r="J6" s="61" t="s">
        <x:v>136</x:v>
      </x:c>
      <x:c r="K6" s="64" t="s">
        <x:v>137</x:v>
      </x:c>
      <x:c r="L6" s="61" t="s">
        <x:v>138</x:v>
      </x:c>
      <x:c r="M6" s="16"/>
      <x:c r="N6" s="16"/>
      <x:c r="O6" s="16"/>
      <x:c r="P6" s="16"/>
      <x:c r="Q6" s="16"/>
      <x:c r="R6" s="16"/>
      <x:c r="S6" s="16"/>
      <x:c r="T6" s="16"/>
      <x:c r="U6" s="16"/>
      <x:c r="V6" s="16"/>
      <x:c r="W6" s="16"/>
    </x:row>
    <x:row r="7">
      <x:c r="A7" s="38" t="s">
        <x:v>139</x:v>
      </x:c>
      <x:c r="B7" s="38" t="s">
        <x:v>117</x:v>
      </x:c>
      <x:c r="C7" s="43" t="s">
        <x:v>140</x:v>
      </x:c>
      <x:c r="D7" s="43" t="s">
        <x:v>141</x:v>
      </x:c>
      <x:c r="E7" s="75" t="s">
        <x:v>131</x:v>
      </x:c>
      <x:c r="F7" s="38" t="s">
        <x:v>132</x:v>
      </x:c>
      <x:c r="G7" s="38" t="s">
        <x:v>133</x:v>
      </x:c>
      <x:c r="H7" s="82">
        <x:v>46239.0</x:v>
      </x:c>
      <x:c r="I7" s="75" t="s">
        <x:v>142</x:v>
      </x:c>
      <x:c r="J7" s="43" t="s">
        <x:v>143</x:v>
      </x:c>
      <x:c r="K7" s="38" t="s">
        <x:v>144</x:v>
      </x:c>
      <x:c r="L7" s="38" t="s">
        <x:v>145</x:v>
      </x:c>
      <x:c r="M7" s="16"/>
      <x:c r="N7" s="16"/>
      <x:c r="O7" s="16"/>
      <x:c r="P7" s="16"/>
      <x:c r="Q7" s="16"/>
      <x:c r="R7" s="16"/>
      <x:c r="S7" s="16"/>
      <x:c r="T7" s="16"/>
      <x:c r="U7" s="16"/>
      <x:c r="V7" s="16"/>
      <x:c r="W7" s="16"/>
    </x:row>
    <x:row r="8">
      <x:c r="A8" s="59" t="s">
        <x:v>146</x:v>
      </x:c>
      <x:c r="B8" s="59" t="s">
        <x:v>117</x:v>
      </x:c>
      <x:c r="C8" s="61" t="s">
        <x:v>147</x:v>
      </x:c>
      <x:c r="D8" s="59" t="s">
        <x:v>130</x:v>
      </x:c>
      <x:c r="E8" s="64" t="s">
        <x:v>131</x:v>
      </x:c>
      <x:c r="F8" s="59" t="s">
        <x:v>132</x:v>
      </x:c>
      <x:c r="G8" s="59" t="s">
        <x:v>133</x:v>
      </x:c>
      <x:c r="H8" s="66" t="s">
        <x:v>148</x:v>
      </x:c>
      <x:c r="I8" s="64" t="s">
        <x:v>149</x:v>
      </x:c>
      <x:c r="J8" s="61" t="s">
        <x:v>150</x:v>
      </x:c>
      <x:c r="K8" s="61"/>
      <x:c r="L8" s="61" t="s">
        <x:v>151</x:v>
      </x:c>
      <x:c r="M8" s="16"/>
      <x:c r="N8" s="16"/>
      <x:c r="O8" s="16"/>
      <x:c r="P8" s="16"/>
      <x:c r="Q8" s="16"/>
      <x:c r="R8" s="16"/>
      <x:c r="S8" s="16"/>
      <x:c r="T8" s="16"/>
      <x:c r="U8" s="16"/>
      <x:c r="V8" s="16"/>
      <x:c r="W8" s="16"/>
    </x:row>
    <x:row r="9">
      <x:c r="A9" s="38" t="s">
        <x:v>152</x:v>
      </x:c>
      <x:c r="B9" s="38" t="s">
        <x:v>117</x:v>
      </x:c>
      <x:c r="C9" s="43" t="s">
        <x:v>153</x:v>
      </x:c>
      <x:c r="D9" s="38" t="s">
        <x:v>130</x:v>
      </x:c>
      <x:c r="E9" s="75" t="s">
        <x:v>131</x:v>
      </x:c>
      <x:c r="F9" s="38" t="s">
        <x:v>132</x:v>
      </x:c>
      <x:c r="G9" s="38" t="s">
        <x:v>133</x:v>
      </x:c>
      <x:c r="H9" s="49" t="s">
        <x:v>154</x:v>
      </x:c>
      <x:c r="I9" s="75" t="s">
        <x:v>155</x:v>
      </x:c>
      <x:c r="J9" s="43" t="s">
        <x:v>156</x:v>
      </x:c>
      <x:c r="K9" s="75" t="s">
        <x:v>157</x:v>
      </x:c>
      <x:c r="L9" s="43" t="s">
        <x:v>151</x:v>
      </x:c>
      <x:c r="M9" s="16"/>
      <x:c r="N9" s="16"/>
      <x:c r="O9" s="16"/>
      <x:c r="P9" s="16"/>
      <x:c r="Q9" s="16"/>
      <x:c r="R9" s="16"/>
      <x:c r="S9" s="16"/>
      <x:c r="T9" s="16"/>
      <x:c r="U9" s="16"/>
      <x:c r="V9" s="16"/>
      <x:c r="W9" s="16"/>
    </x:row>
    <x:row r="10" ht="42" customHeight="1">
      <x:c r="A10" s="59" t="s">
        <x:v>158</x:v>
      </x:c>
      <x:c r="B10" s="59" t="s">
        <x:v>117</x:v>
      </x:c>
      <x:c r="C10" s="61" t="s">
        <x:v>159</x:v>
      </x:c>
      <x:c r="D10" s="59" t="s">
        <x:v>160</x:v>
      </x:c>
      <x:c r="E10" s="61" t="s">
        <x:v>161</x:v>
      </x:c>
      <x:c r="F10" s="59" t="s">
        <x:v>162</x:v>
      </x:c>
      <x:c r="G10" s="59" t="s">
        <x:v>163</x:v>
      </x:c>
      <x:c r="H10" s="66" t="s">
        <x:v>164</x:v>
      </x:c>
      <x:c r="I10" s="64" t="s">
        <x:v>165</x:v>
      </x:c>
      <x:c r="J10" s="59" t="s">
        <x:v>166</x:v>
      </x:c>
      <x:c r="K10" s="64" t="s">
        <x:v>167</x:v>
      </x:c>
      <x:c r="L10" s="64" t="s">
        <x:v>168</x:v>
      </x:c>
      <x:c r="M10" s="16"/>
      <x:c r="N10" s="16"/>
      <x:c r="O10" s="16"/>
      <x:c r="P10" s="16"/>
      <x:c r="Q10" s="16"/>
      <x:c r="R10" s="16"/>
      <x:c r="S10" s="16"/>
      <x:c r="T10" s="16"/>
      <x:c r="U10" s="16"/>
      <x:c r="V10" s="16"/>
      <x:c r="W10" s="16"/>
    </x:row>
    <x:row r="11" ht="21" customHeight="1">
      <x:c r="A11" s="38" t="s">
        <x:v>169</x:v>
      </x:c>
      <x:c r="B11" s="38" t="s">
        <x:v>117</x:v>
      </x:c>
      <x:c r="C11" s="43" t="s">
        <x:v>159</x:v>
      </x:c>
      <x:c r="D11" s="38" t="s">
        <x:v>170</x:v>
      </x:c>
      <x:c r="E11" s="43" t="s">
        <x:v>161</x:v>
      </x:c>
      <x:c r="F11" s="38" t="s">
        <x:v>162</x:v>
      </x:c>
      <x:c r="G11" s="38" t="s">
        <x:v>163</x:v>
      </x:c>
      <x:c r="H11" s="49" t="s">
        <x:v>171</x:v>
      </x:c>
      <x:c r="I11" s="43" t="s">
        <x:v>172</x:v>
      </x:c>
      <x:c r="J11" s="38" t="s">
        <x:v>173</x:v>
      </x:c>
      <x:c r="K11" s="43"/>
      <x:c r="L11" s="43" t="s">
        <x:v>174</x:v>
      </x:c>
      <x:c r="M11" s="16"/>
      <x:c r="N11" s="16"/>
      <x:c r="O11" s="16"/>
      <x:c r="P11" s="16"/>
      <x:c r="Q11" s="16"/>
      <x:c r="R11" s="16"/>
      <x:c r="S11" s="16"/>
      <x:c r="T11" s="16"/>
      <x:c r="U11" s="16"/>
      <x:c r="V11" s="16"/>
      <x:c r="W11" s="16"/>
    </x:row>
    <x:row r="12">
      <x:c r="A12" s="59" t="s">
        <x:v>175</x:v>
      </x:c>
      <x:c r="B12" s="59" t="s">
        <x:v>117</x:v>
      </x:c>
      <x:c r="C12" s="61" t="s">
        <x:v>159</x:v>
      </x:c>
      <x:c r="D12" s="59" t="s">
        <x:v>176</x:v>
      </x:c>
      <x:c r="E12" s="61" t="s">
        <x:v>161</x:v>
      </x:c>
      <x:c r="F12" s="59" t="s">
        <x:v>162</x:v>
      </x:c>
      <x:c r="G12" s="59" t="s">
        <x:v>163</x:v>
      </x:c>
      <x:c r="H12" s="66" t="s">
        <x:v>177</x:v>
      </x:c>
      <x:c r="I12" s="64" t="s">
        <x:v>178</x:v>
      </x:c>
      <x:c r="J12" s="59" t="s">
        <x:v>179</x:v>
      </x:c>
      <x:c r="K12" s="64" t="s">
        <x:v>180</x:v>
      </x:c>
      <x:c r="L12" s="64" t="s">
        <x:v>181</x:v>
      </x:c>
      <x:c r="M12" s="16"/>
      <x:c r="N12" s="16"/>
      <x:c r="O12" s="16"/>
      <x:c r="P12" s="16"/>
      <x:c r="Q12" s="16"/>
      <x:c r="R12" s="16"/>
      <x:c r="S12" s="16"/>
      <x:c r="T12" s="16"/>
      <x:c r="U12" s="16"/>
      <x:c r="V12" s="16"/>
      <x:c r="W12" s="16"/>
    </x:row>
    <x:row r="13">
      <x:c r="A13" s="38" t="s">
        <x:v>182</x:v>
      </x:c>
      <x:c r="B13" s="75" t="s">
        <x:v>117</x:v>
      </x:c>
      <x:c r="C13" s="43" t="s">
        <x:v>183</x:v>
      </x:c>
      <x:c r="D13" s="38"/>
      <x:c r="E13" s="43" t="s">
        <x:v>184</x:v>
      </x:c>
      <x:c r="F13" s="38" t="s">
        <x:v>185</x:v>
      </x:c>
      <x:c r="G13" s="43" t="s">
        <x:v>186</x:v>
      </x:c>
      <x:c r="H13" s="49" t="s">
        <x:v>187</x:v>
      </x:c>
      <x:c r="I13" s="38" t="s">
        <x:v>188</x:v>
      </x:c>
      <x:c r="J13" s="43" t="s">
        <x:v>189</x:v>
      </x:c>
      <x:c r="K13" s="75" t="s">
        <x:v>190</x:v>
      </x:c>
      <x:c r="L13" s="43" t="s">
        <x:v>191</x:v>
      </x:c>
      <x:c r="M13" s="16"/>
      <x:c r="N13" s="16"/>
      <x:c r="O13" s="16"/>
      <x:c r="P13" s="16"/>
      <x:c r="Q13" s="16"/>
      <x:c r="R13" s="16"/>
      <x:c r="S13" s="16"/>
      <x:c r="T13" s="16"/>
      <x:c r="U13" s="16"/>
      <x:c r="V13" s="16"/>
      <x:c r="W13" s="16"/>
    </x:row>
    <x:row r="14">
      <x:c r="A14" s="59" t="s">
        <x:v>192</x:v>
      </x:c>
      <x:c r="B14" s="61" t="s">
        <x:v>193</x:v>
      </x:c>
      <x:c r="C14" s="59" t="s">
        <x:v>194</x:v>
      </x:c>
      <x:c r="D14" s="59" t="s">
        <x:v>130</x:v>
      </x:c>
      <x:c r="E14" s="61"/>
      <x:c r="F14" s="59" t="s">
        <x:v>130</x:v>
      </x:c>
      <x:c r="G14" s="59" t="s">
        <x:v>130</x:v>
      </x:c>
      <x:c r="H14" s="102">
        <x:v>46314.0</x:v>
      </x:c>
      <x:c r="I14" s="59" t="s">
        <x:v>195</x:v>
      </x:c>
      <x:c r="J14" s="59" t="s">
        <x:v>130</x:v>
      </x:c>
      <x:c r="K14" s="59" t="s">
        <x:v>130</x:v>
      </x:c>
      <x:c r="L14" s="59" t="s">
        <x:v>130</x:v>
      </x:c>
      <x:c r="M14" s="16"/>
      <x:c r="N14" s="16"/>
      <x:c r="O14" s="16"/>
      <x:c r="P14" s="16"/>
      <x:c r="Q14" s="16"/>
      <x:c r="R14" s="16"/>
      <x:c r="S14" s="16"/>
      <x:c r="T14" s="16"/>
      <x:c r="U14" s="16"/>
      <x:c r="V14" s="16"/>
      <x:c r="W14" s="16"/>
    </x:row>
    <x:row r="15">
      <x:c r="A15" s="38" t="s">
        <x:v>196</x:v>
      </x:c>
      <x:c r="B15" s="38" t="s">
        <x:v>117</x:v>
      </x:c>
      <x:c r="C15" s="43" t="s">
        <x:v>197</x:v>
      </x:c>
      <x:c r="D15" s="43" t="s">
        <x:v>198</x:v>
      </x:c>
      <x:c r="E15" s="38" t="s">
        <x:v>184</x:v>
      </x:c>
      <x:c r="F15" s="38" t="s">
        <x:v>199</x:v>
      </x:c>
      <x:c r="G15" s="38" t="s">
        <x:v>200</x:v>
      </x:c>
      <x:c r="H15" s="49" t="s">
        <x:v>187</x:v>
      </x:c>
      <x:c r="I15" s="43" t="s">
        <x:v>201</x:v>
      </x:c>
      <x:c r="J15" s="38" t="s">
        <x:v>202</x:v>
      </x:c>
      <x:c r="K15" s="38" t="s">
        <x:v>203</x:v>
      </x:c>
      <x:c r="L15" s="43" t="s">
        <x:v>204</x:v>
      </x:c>
      <x:c r="M15" s="16"/>
      <x:c r="N15" s="16"/>
      <x:c r="O15" s="16"/>
      <x:c r="P15" s="16"/>
      <x:c r="Q15" s="16"/>
      <x:c r="R15" s="16"/>
      <x:c r="S15" s="16"/>
      <x:c r="T15" s="16"/>
      <x:c r="U15" s="16"/>
      <x:c r="V15" s="16"/>
      <x:c r="W15" s="16"/>
    </x:row>
    <x:row r="16">
      <x:c r="A16" s="59" t="s">
        <x:v>205</x:v>
      </x:c>
      <x:c r="B16" s="59" t="s">
        <x:v>117</x:v>
      </x:c>
      <x:c r="C16" s="61" t="s">
        <x:v>206</x:v>
      </x:c>
      <x:c r="D16" s="59" t="s">
        <x:v>207</x:v>
      </x:c>
      <x:c r="E16" s="64" t="s">
        <x:v>208</x:v>
      </x:c>
      <x:c r="F16" s="59" t="s">
        <x:v>121</x:v>
      </x:c>
      <x:c r="G16" s="59" t="s">
        <x:v>122</x:v>
      </x:c>
      <x:c r="H16" s="66" t="s">
        <x:v>209</x:v>
      </x:c>
      <x:c r="I16" s="64" t="s">
        <x:v>210</x:v>
      </x:c>
      <x:c r="J16" s="61" t="s">
        <x:v>211</x:v>
      </x:c>
      <x:c r="K16" s="64" t="s">
        <x:v>212</x:v>
      </x:c>
      <x:c r="L16" s="61" t="s">
        <x:v>213</x:v>
      </x:c>
    </x:row>
    <x:row r="17" ht="24.75" customHeight="1">
      <x:c r="A17" s="38" t="s">
        <x:v>214</x:v>
      </x:c>
      <x:c r="B17" s="38" t="s">
        <x:v>117</x:v>
      </x:c>
      <x:c r="C17" s="43" t="s">
        <x:v>118</x:v>
      </x:c>
      <x:c r="D17" s="43" t="s">
        <x:v>215</x:v>
      </x:c>
      <x:c r="E17" s="75" t="s">
        <x:v>216</x:v>
      </x:c>
      <x:c r="F17" s="38" t="s">
        <x:v>121</x:v>
      </x:c>
      <x:c r="G17" s="38" t="s">
        <x:v>217</x:v>
      </x:c>
      <x:c r="H17" s="82" t="s">
        <x:v>218</x:v>
      </x:c>
      <x:c r="I17" s="75" t="s">
        <x:v>219</x:v>
      </x:c>
      <x:c r="J17" s="43" t="s">
        <x:v>220</x:v>
      </x:c>
      <x:c r="K17" s="38" t="s">
        <x:v>221</x:v>
      </x:c>
      <x:c r="L17" s="38" t="s">
        <x:v>222</x:v>
      </x:c>
    </x:row>
    <x:row r="18" ht="24.75" customHeight="1">
      <x:c r="A18" s="59" t="s">
        <x:v>223</x:v>
      </x:c>
      <x:c r="B18" s="59" t="s">
        <x:v>117</x:v>
      </x:c>
      <x:c r="C18" s="61" t="s">
        <x:v>224</x:v>
      </x:c>
      <x:c r="D18" s="59" t="s">
        <x:v>225</x:v>
      </x:c>
      <x:c r="E18" s="64" t="s">
        <x:v>216</x:v>
      </x:c>
      <x:c r="F18" s="59" t="s">
        <x:v>199</x:v>
      </x:c>
      <x:c r="G18" s="59" t="s">
        <x:v>226</x:v>
      </x:c>
      <x:c r="H18" s="66" t="s">
        <x:v>227</x:v>
      </x:c>
      <x:c r="I18" s="64" t="s">
        <x:v>228</x:v>
      </x:c>
      <x:c r="J18" s="61" t="s">
        <x:v>229</x:v>
      </x:c>
      <x:c r="K18" s="61" t="s">
        <x:v>230</x:v>
      </x:c>
      <x:c r="L18" s="61" t="s">
        <x:v>231</x:v>
      </x:c>
    </x:row>
    <x:row r="19">
      <x:c r="A19" s="38" t="s">
        <x:v>232</x:v>
      </x:c>
      <x:c r="B19" s="38" t="s">
        <x:v>117</x:v>
      </x:c>
      <x:c r="C19" s="43" t="s">
        <x:v>233</x:v>
      </x:c>
      <x:c r="D19" s="38" t="s">
        <x:v>234</x:v>
      </x:c>
      <x:c r="E19" s="75" t="s">
        <x:v>235</x:v>
      </x:c>
      <x:c r="F19" s="38" t="s">
        <x:v>132</x:v>
      </x:c>
      <x:c r="G19" s="38" t="s">
        <x:v>130</x:v>
      </x:c>
      <x:c r="H19" s="49" t="s">
        <x:v>236</x:v>
      </x:c>
      <x:c r="I19" s="75" t="s">
        <x:v>237</x:v>
      </x:c>
      <x:c r="J19" s="43" t="s">
        <x:v>238</x:v>
      </x:c>
      <x:c r="K19" s="75" t="s">
        <x:v>239</x:v>
      </x:c>
      <x:c r="L19" s="43" t="s">
        <x:v>240</x:v>
      </x:c>
    </x:row>
    <x:row r="20">
      <x:c r="A20" s="59" t="s">
        <x:v>241</x:v>
      </x:c>
      <x:c r="B20" s="59" t="s">
        <x:v>117</x:v>
      </x:c>
      <x:c r="C20" s="61" t="s">
        <x:v>242</x:v>
      </x:c>
      <x:c r="D20" s="59" t="s">
        <x:v>243</x:v>
      </x:c>
      <x:c r="E20" s="61" t="s">
        <x:v>161</x:v>
      </x:c>
      <x:c r="F20" s="59" t="s">
        <x:v>199</x:v>
      </x:c>
      <x:c r="G20" s="59" t="s">
        <x:v>200</x:v>
      </x:c>
      <x:c r="H20" s="66" t="s">
        <x:v>244</x:v>
      </x:c>
      <x:c r="I20" s="64" t="s">
        <x:v>245</x:v>
      </x:c>
      <x:c r="J20" s="59" t="s">
        <x:v>246</x:v>
      </x:c>
      <x:c r="K20" s="64" t="s">
        <x:v>247</x:v>
      </x:c>
      <x:c r="L20" s="64" t="s">
        <x:v>248</x:v>
      </x:c>
    </x:row>
    <x:row r="21" ht="24.75" customHeight="1">
      <x:c r="A21" s="38" t="s">
        <x:v>249</x:v>
      </x:c>
      <x:c r="B21" s="38" t="s">
        <x:v>117</x:v>
      </x:c>
      <x:c r="C21" s="43" t="s">
        <x:v>250</x:v>
      </x:c>
      <x:c r="D21" s="38" t="s">
        <x:v>251</x:v>
      </x:c>
      <x:c r="E21" s="43" t="s">
        <x:v>161</x:v>
      </x:c>
      <x:c r="F21" s="38" t="s">
        <x:v>199</x:v>
      </x:c>
      <x:c r="G21" s="38" t="s">
        <x:v>252</x:v>
      </x:c>
      <x:c r="H21" s="49" t="s">
        <x:v>244</x:v>
      </x:c>
      <x:c r="I21" s="43" t="s">
        <x:v>253</x:v>
      </x:c>
      <x:c r="J21" s="38" t="s">
        <x:v>254</x:v>
      </x:c>
      <x:c r="K21" s="43" t="s">
        <x:v>255</x:v>
      </x:c>
      <x:c r="L21" s="43" t="s">
        <x:v>256</x:v>
      </x:c>
    </x:row>
    <x:row r="22">
      <x:c r="A22" s="59" t="s">
        <x:v>257</x:v>
      </x:c>
      <x:c r="B22" s="59" t="s">
        <x:v>258</x:v>
      </x:c>
      <x:c r="C22" s="61" t="s">
        <x:v>259</x:v>
      </x:c>
      <x:c r="D22" s="59" t="s">
        <x:v>260</x:v>
      </x:c>
      <x:c r="E22" s="61" t="s">
        <x:v>261</x:v>
      </x:c>
      <x:c r="F22" s="59" t="s">
        <x:v>262</x:v>
      </x:c>
      <x:c r="G22" s="59" t="s">
        <x:v>122</x:v>
      </x:c>
      <x:c r="H22" s="66" t="s">
        <x:v>263</x:v>
      </x:c>
      <x:c r="I22" s="64" t="s">
        <x:v>264</x:v>
      </x:c>
      <x:c r="J22" s="59" t="s">
        <x:v>265</x:v>
      </x:c>
      <x:c r="K22" s="64" t="str">
        <x:v>과거 보완본: 관측1,738·대상1,665·건물명264. 현재 D19의 1,585·7,193과 혼합하지 않음.</x:v>
      </x:c>
      <x:c r="L22" s="64" t="s">
        <x:v>266</x:v>
      </x:c>
    </x:row>
    <x:row r="23" ht="92" customHeight="1">
      <x:c r="A23" s="154" t="str">
        <x:v>D19</x:v>
      </x:c>
      <x:c r="B23" s="154" t="str">
        <x:v>팀 분석 결과</x:v>
      </x:c>
      <x:c r="C23" s="155" t="str">
        <x:v>현재 2차 필지·생활권·거점</x:v>
      </x:c>
      <x:c r="D23" s="154" t="str">
        <x:v>공통 GeoJSON·결과 엑셀</x:v>
      </x:c>
      <x:c r="E23" s="155" t="str">
        <x:v>팀 분석</x:v>
      </x:c>
      <x:c r="F23" s="154" t="str">
        <x:v>GeoJSON/XLSX</x:v>
      </x:c>
      <x:c r="G23" s="154" t="str">
        <x:v>WGS84 EPSG:4326</x:v>
      </x:c>
      <x:c r="H23" s="156" t="str">
        <x:v>2026-10-20 (결과 작성)</x:v>
      </x:c>
      <x:c r="I23" s="157" t="str">
        <x:v>현재 웹 검색·담당 제안</x:v>
      </x:c>
      <x:c r="J23" s="154" t="str">
        <x:v>key, 주택유형, 생활권, 거점id, geometry</x:v>
      </x:c>
      <x:c r="K23" s="157" t="str">
        <x:v>1,585필지·7,193 등록 주거단위·9생활권. 기존1,665와 혼합 금지</x:v>
      </x:c>
      <x:c r="L23" s="157" t="str">
        <x:v>PNU/팀key·생활권→거점ID</x:v>
      </x:c>
    </x:row>
    <x:row r="24" ht="92" customHeight="1">
      <x:c r="A24" s="154" t="str">
        <x:v>D20</x:v>
      </x:c>
      <x:c r="B24" s="154" t="str">
        <x:v>파생 자료</x:v>
      </x:c>
      <x:c r="C24" s="155" t="str">
        <x:v>웹 수거 경로 그래프</x:v>
      </x:c>
      <x:c r="D24" s="154" t="str">
        <x:v>route_graph.json</x:v>
      </x:c>
      <x:c r="E24" s="155" t="str">
        <x:v>팀 통합</x:v>
      </x:c>
      <x:c r="F24" s="154" t="str">
        <x:v>JSON</x:v>
      </x:c>
      <x:c r="G24" s="154" t="str">
        <x:v>EPSG:4326·근사m</x:v>
      </x:c>
      <x:c r="H24" s="156" t="str">
        <x:v>2026-10-20 (가공)</x:v>
      </x:c>
      <x:c r="I24" s="157" t="str">
        <x:v>자동/직접 순회 경로안</x:v>
      </x:c>
      <x:c r="J24" s="154" t="str">
        <x:v>nodes, edges, hubs, sources/sha256</x:v>
      </x:c>
      <x:c r="K24" s="157" t="str">
        <x:v>162도로 구간 근사. 실제 운행·안전 검증 아님</x:v>
      </x:c>
      <x:c r="L24" s="157" t="str">
        <x:v>거점ID→도로 node</x:v>
      </x:c>
    </x:row>
    <x:row r="25" ht="92" customHeight="1">
      <x:c r="A25" s="154" t="str">
        <x:v>D21</x:v>
      </x:c>
      <x:c r="B25" s="154" t="str">
        <x:v>공식 안내 스냅샷</x:v>
      </x:c>
      <x:c r="C25" s="155" t="str">
        <x:v>대형폐기물 품목·규격·수수료</x:v>
      </x:c>
      <x:c r="D25" s="154" t="str">
        <x:v>waste_catalog.json</x:v>
      </x:c>
      <x:c r="E25" s="155" t="str">
        <x:v>양천구 스마트클린</x:v>
      </x:c>
      <x:c r="F25" s="154" t="str">
        <x:v>JSON</x:v>
      </x:c>
      <x:c r="G25" s="154" t="str">
        <x:v>해당 없음</x:v>
      </x:c>
      <x:c r="H25" s="156" t="str">
        <x:v>2026-10-18 확인 / 시행일 미명시</x:v>
      </x:c>
      <x:c r="I25" s="157" t="str">
        <x:v>Gemini 후보 목록·사용자 선택·금액조회</x:v>
      </x:c>
      <x:c r="J25" s="154" t="str">
        <x:v>item_id, rule_id, official_name, aliases, specification, fee_krw, source_id</x:v>
      </x:c>
      <x:c r="K25" s="157" t="str">
        <x:v>91품목·268규칙. 현재 금액 전수 대조 전 참고값</x:v>
      </x:c>
      <x:c r="L25" s="157" t="str">
        <x:v>item_id→rule_id, source_id→출처</x:v>
      </x:c>
    </x:row>
    <x:row r="26" ht="92" customHeight="1">
      <x:c r="A26" s="154" t="str">
        <x:v>D22</x:v>
      </x:c>
      <x:c r="B26" s="154" t="str">
        <x:v>공식 법령·안내 발췌</x:v>
      </x:c>
      <x:c r="C26" s="155" t="str">
        <x:v>배출 관련 조문·절차</x:v>
      </x:c>
      <x:c r="D26" s="154" t="str">
        <x:v>legal_documents.json</x:v>
      </x:c>
      <x:c r="E26" s="155" t="str">
        <x:v>국가법령정보센터·양천구</x:v>
      </x:c>
      <x:c r="F26" s="154" t="str">
        <x:v>JSON</x:v>
      </x:c>
      <x:c r="G26" s="154" t="str">
        <x:v>해당 없음</x:v>
      </x:c>
      <x:c r="H26" s="156" t="str">
        <x:v>2026-10-21 확인 / 시행일은 각 행</x:v>
      </x:c>
      <x:c r="I26" s="157" t="str">
        <x:v>근거 조회·다음 RAG 입력</x:v>
      </x:c>
      <x:c r="J26" s="154" t="str">
        <x:v>document_id, text, source_url, checked_at, effective_from</x:v>
      </x:c>
      <x:c r="K26" s="157" t="str">
        <x:v>검토 발췌5건. 전체 법령·RAG 답변 완료 아님</x:v>
      </x:c>
      <x:c r="L26" s="157" t="str">
        <x:v>document_id·공식URL→원문 증거</x:v>
      </x:c>
    </x:row>
    <x:row r="27" ht="92" customHeight="1">
      <x:c r="A27" s="154" t="str">
        <x:v>D23</x:v>
      </x:c>
      <x:c r="B27" s="154" t="str">
        <x:v>원문 증거</x:v>
      </x:c>
      <x:c r="C27" s="155" t="str">
        <x:v>공식 HTML·별표 HWP</x:v>
      </x:c>
      <x:c r="D27" s="154" t="str">
        <x:v>official_pages/manifest.json</x:v>
      </x:c>
      <x:c r="E27" s="155" t="str">
        <x:v>공식 사이트</x:v>
      </x:c>
      <x:c r="F27" s="154" t="str">
        <x:v>HTML/HWP/JSON</x:v>
      </x:c>
      <x:c r="G27" s="154" t="str">
        <x:v>해당 없음</x:v>
      </x:c>
      <x:c r="H27" s="156" t="str">
        <x:v>2026-10-21 취득</x:v>
      </x:c>
      <x:c r="I27" s="157" t="str">
        <x:v>문서/수수료 출처 대조</x:v>
      </x:c>
      <x:c r="J27" s="154" t="str">
        <x:v>file, url, checked_at, sha256</x:v>
      </x:c>
      <x:c r="K27" s="157" t="str">
        <x:v>원문 보존. 별표 행별 금액 대조는 남음</x:v>
      </x:c>
      <x:c r="L27" s="157" t="str">
        <x:v>문서 evidence_file/sha256</x:v>
      </x:c>
    </x:row>
    <x:row r="28" ht="92" customHeight="1">
      <x:c r="A28" s="154" t="str">
        <x:v>D24</x:v>
      </x:c>
      <x:c r="B28" s="154" t="str">
        <x:v>평가 자료</x:v>
      </x:c>
      <x:c r="C28" s="155" t="str">
        <x:v>가구 인식 비교·오판·보류</x:v>
      </x:c>
      <x:c r="D28" s="154" t="str">
        <x:v>evaluation_20261022/</x:v>
      </x:c>
      <x:c r="E28" s="155" t="str">
        <x:v>AI-Hub 원본+팀 실험</x:v>
      </x:c>
      <x:c r="F28" s="154" t="str">
        <x:v>CSV/JSON</x:v>
      </x:c>
      <x:c r="G28" s="154" t="str">
        <x:v>사용 안 함</x:v>
      </x:c>
      <x:c r="H28" s="156" t="str">
        <x:v>2026-10-22 평가 / 원본 배포버전 미확인</x:v>
      </x:c>
      <x:c r="I28" s="157" t="str">
        <x:v>Gemini 채택·YOLO/DINO 제외 근거</x:v>
      </x:c>
      <x:c r="J28" s="154" t="str">
        <x:v>sample_id, mode, candidates, status, seconds, sha256</x:v>
      </x:c>
      <x:c r="K28" s="157" t="str">
        <x:v>추가15장=실제12+합성3, 5방식75회. 정답은 검토초안·애매5장 제외</x:v>
      </x:c>
      <x:c r="L28" s="157" t="str">
        <x:v>사진번호·촬영묶음·SHA256. 원본 사진 Git 제외</x:v>
      </x:c>
    </x:row>
    <x:row r="29" ht="92" customHeight="1">
      <x:c r="A29" s="154" t="str">
        <x:v>D25</x:v>
      </x:c>
      <x:c r="B29" s="154" t="str">
        <x:v>서비스 DB</x:v>
      </x:c>
      <x:c r="C29" s="155" t="str">
        <x:v>규칙·문서·수정 이력</x:v>
      </x:c>
      <x:c r="D29" s="154" t="str">
        <x:v>records/history/seeds</x:v>
      </x:c>
      <x:c r="E29" s="155" t="str">
        <x:v>그린존 서비스</x:v>
      </x:c>
      <x:c r="F29" s="154" t="str">
        <x:v>SQLite</x:v>
      </x:c>
      <x:c r="G29" s="154" t="str">
        <x:v>해당 없음</x:v>
      </x:c>
      <x:c r="H29" s="156" t="str">
        <x:v>2026-10-22 구조/건수 확인</x:v>
      </x:c>
      <x:c r="I29" s="157" t="str">
        <x:v>관리자 수정→사용자 재조회</x:v>
      </x:c>
      <x:c r="J29" s="154" t="str">
        <x:v>kind, record_id, payload, revision; before_json, after_json, reason</x:v>
      </x:c>
      <x:c r="K29" s="157" t="str">
        <x:v>규칙268·문서19. 테스트/원복 이력2. 실제 FK 미선언</x:v>
      </x:c>
      <x:c r="L29" s="157" t="str">
        <x:v>records 복합PK; history는 kind+record_id 논리참조</x:v>
      </x:c>
    </x:row>
    <x:row r="30" ht="92" customHeight="1">
      <x:c r="A30" s="154" t="str">
        <x:v>D26</x:v>
      </x:c>
      <x:c r="B30" s="154" t="str">
        <x:v>관측 로그</x:v>
      </x:c>
      <x:c r="C30" s="155" t="str">
        <x:v>Opik 후보·보류·시간</x:v>
      </x:c>
      <x:c r="D30" s="154" t="str">
        <x:v>opik_logs.json·opik_live_verification.json</x:v>
      </x:c>
      <x:c r="E30" s="155" t="str">
        <x:v>그린존 / Comet Opik</x:v>
      </x:c>
      <x:c r="F30" s="154" t="str">
        <x:v>JSON</x:v>
      </x:c>
      <x:c r="G30" s="154" t="str">
        <x:v>해당 없음</x:v>
      </x:c>
      <x:c r="H30" s="156" t="str">
        <x:v>2026-10-22 기록·서버 재조회</x:v>
      </x:c>
      <x:c r="I30" s="157" t="str">
        <x:v>사후실험과 서비스실호출 구분</x:v>
      </x:c>
      <x:c r="J30" s="154" t="str">
        <x:v>trace_id, candidates, state, seconds, token usage</x:v>
      </x:c>
      <x:c r="K30" s="157" t="str">
        <x:v>사후75건과 실호출 후보/보류는 별도. 환각 자동심사 미실행</x:v>
      </x:c>
      <x:c r="L30" s="157" t="str">
        <x:v>trace_id·사진번호. 사진·키·주소·검색어 기록 안 함</x:v>
      </x:c>
    </x:row>
  </x:sheetData>
  <x:mergeCells>
    <x:mergeCell ref="A2:B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12.630000114440918" defaultRowHeight="15"/>
  <x:cols>
    <x:col min="1" max="2" width="7.25" customWidth="1"/>
    <x:col min="3" max="3" width="18.25" customWidth="1"/>
    <x:col min="4" max="4" width="29.75" customWidth="1"/>
    <x:col min="5" max="5" width="83.12999725341797" customWidth="1"/>
    <x:col min="6" max="6" width="16.3799991607666" customWidth="1"/>
    <x:col min="7" max="7" width="14.25" customWidth="1"/>
    <x:col min="8" max="8" width="15.25" customWidth="1"/>
    <x:col min="9" max="9" width="11.880000114440918" customWidth="1"/>
    <x:col min="10" max="10" width="9.75" customWidth="1"/>
    <x:col min="11" max="11" width="84.87999725341797" customWidth="1"/>
  </x:cols>
  <x:sheetData>
    <x:row r="1">
      <x:c r="A1" s="2"/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2"/>
      <x:c r="B2" s="3"/>
      <x:c r="C2" s="3"/>
      <x:c r="D2" s="3"/>
      <x:c r="E2" s="3"/>
      <x:c r="F2" s="3"/>
      <x:c r="G2" s="3"/>
      <x:c r="H2" s="3"/>
      <x:c r="I2" s="3"/>
      <x:c r="J2" s="3"/>
    </x:row>
    <x:row r="3" hidden="1">
      <x:c r="A3" s="8"/>
      <x:c r="B3" s="12" t="s">
        <x:v>267</x:v>
      </x:c>
      <x:c r="C3" s="15" t="s">
        <x:v>268</x:v>
      </x:c>
      <x:c r="D3" s="15" t="s">
        <x:v>269</x:v>
      </x:c>
      <x:c r="E3" s="15" t="s">
        <x:v>270</x:v>
      </x:c>
      <x:c r="F3" s="15" t="s">
        <x:v>271</x:v>
      </x:c>
      <x:c r="G3" s="15" t="s">
        <x:v>272</x:v>
      </x:c>
      <x:c r="H3" s="15" t="s">
        <x:v>273</x:v>
      </x:c>
      <x:c r="I3" s="15" t="s">
        <x:v>274</x:v>
      </x:c>
      <x:c r="J3" s="19" t="s">
        <x:v>275</x:v>
      </x:c>
    </x:row>
    <x:row r="4" hidden="1">
      <x:c r="A4" s="21"/>
      <x:c r="B4" s="25" t="s">
        <x:v>276</x:v>
      </x:c>
      <x:c r="C4" s="28">
        <x:v>46315.0</x:v>
      </x:c>
      <x:c r="D4" s="30"/>
      <x:c r="E4" s="30" t="str">
        <x:v>PM</x:v>
      </x:c>
      <x:c r="F4" s="37" t="s">
        <x:v>277</x:v>
      </x:c>
      <x:c r="G4" s="40" t="s">
        <x:v>278</x:v>
      </x:c>
      <x:c r="H4" s="40" t="s">
        <x:v>279</x:v>
      </x:c>
      <x:c r="I4" s="30" t="str">
        <x:v>합의 완료</x:v>
      </x:c>
      <x:c r="J4" s="46"/>
    </x:row>
    <x:row r="5" hidden="1">
      <x:c r="A5" s="21"/>
      <x:c r="B5" s="51" t="s">
        <x:v>280</x:v>
      </x:c>
      <x:c r="C5" s="53">
        <x:v>46314.0</x:v>
      </x:c>
      <x:c r="D5" s="53">
        <x:v>46315.0</x:v>
      </x:c>
      <x:c r="E5" s="30" t="str">
        <x:v>분석</x:v>
      </x:c>
      <x:c r="F5" s="55" t="s">
        <x:v>281</x:v>
      </x:c>
      <x:c r="G5" s="57" t="s">
        <x:v>282</x:v>
      </x:c>
      <x:c r="H5" s="57" t="s">
        <x:v>283</x:v>
      </x:c>
      <x:c r="I5" s="30" t="str">
        <x:v>자료 보유</x:v>
      </x:c>
      <x:c r="J5" s="46"/>
    </x:row>
    <x:row r="6" hidden="1">
      <x:c r="A6" s="21"/>
      <x:c r="B6" s="60" t="s">
        <x:v>284</x:v>
      </x:c>
      <x:c r="C6" s="28">
        <x:v>46315.0</x:v>
      </x:c>
      <x:c r="D6" s="30"/>
      <x:c r="E6" s="30" t="str">
        <x:v>개발 A</x:v>
      </x:c>
      <x:c r="F6" s="37" t="s">
        <x:v>285</x:v>
      </x:c>
      <x:c r="G6" s="40" t="s">
        <x:v>286</x:v>
      </x:c>
      <x:c r="H6" s="40" t="s">
        <x:v>287</x:v>
      </x:c>
      <x:c r="I6" s="30" t="str">
        <x:v>코드 보유</x:v>
      </x:c>
      <x:c r="J6" s="46"/>
    </x:row>
    <x:row r="7" hidden="1">
      <x:c r="A7" s="21"/>
      <x:c r="B7" s="60" t="s">
        <x:v>288</x:v>
      </x:c>
      <x:c r="C7" s="53">
        <x:v>46315.0</x:v>
      </x:c>
      <x:c r="D7" s="30"/>
      <x:c r="E7" s="30" t="str">
        <x:v>개발 B</x:v>
      </x:c>
      <x:c r="F7" s="55" t="s">
        <x:v>289</x:v>
      </x:c>
      <x:c r="G7" s="57" t="s">
        <x:v>290</x:v>
      </x:c>
      <x:c r="H7" s="57" t="s">
        <x:v>291</x:v>
      </x:c>
      <x:c r="I7" s="30" t="str">
        <x:v>일부 완료</x:v>
      </x:c>
      <x:c r="J7" s="46" t="str">
        <x:v>DB/Gemini 기반 확인. RAG는 R2에서 LangChain의 단순 검색·답변 흐름으로 연결.</x:v>
      </x:c>
    </x:row>
    <x:row r="8" hidden="1">
      <x:c r="A8" s="21"/>
      <x:c r="B8" s="65" t="s">
        <x:v>292</x:v>
      </x:c>
      <x:c r="C8" s="68">
        <x:v>46316.0</x:v>
      </x:c>
      <x:c r="D8" s="70"/>
      <x:c r="E8" s="70" t="str">
        <x:v>PM</x:v>
      </x:c>
      <x:c r="F8" s="73" t="s">
        <x:v>289</x:v>
      </x:c>
      <x:c r="G8" s="74" t="s">
        <x:v>293</x:v>
      </x:c>
      <x:c r="H8" s="74" t="s">
        <x:v>294</x:v>
      </x:c>
      <x:c r="I8" s="70" t="str">
        <x:v>자료 보유</x:v>
      </x:c>
      <x:c r="J8" s="77"/>
    </x:row>
    <x:row r="9" hidden="1">
      <x:c r="A9" s="21"/>
      <x:c r="B9" s="51" t="s">
        <x:v>295</x:v>
      </x:c>
      <x:c r="C9" s="53">
        <x:v>46316.0</x:v>
      </x:c>
      <x:c r="D9" s="30"/>
      <x:c r="E9" s="30" t="str">
        <x:v>분석</x:v>
      </x:c>
      <x:c r="F9" s="55" t="s">
        <x:v>281</x:v>
      </x:c>
      <x:c r="G9" s="57" t="s">
        <x:v>296</x:v>
      </x:c>
      <x:c r="H9" s="57" t="s">
        <x:v>280</x:v>
      </x:c>
      <x:c r="I9" s="30" t="str">
        <x:v>자료 보유</x:v>
      </x:c>
      <x:c r="J9" s="46"/>
    </x:row>
    <x:row r="10" hidden="1">
      <x:c r="A10" s="21"/>
      <x:c r="B10" s="60" t="s">
        <x:v>297</x:v>
      </x:c>
      <x:c r="C10" s="28">
        <x:v>46316.0</x:v>
      </x:c>
      <x:c r="D10" s="30"/>
      <x:c r="E10" s="30" t="str">
        <x:v>개발 A</x:v>
      </x:c>
      <x:c r="F10" s="37" t="s">
        <x:v>285</x:v>
      </x:c>
      <x:c r="G10" s="40" t="s">
        <x:v>298</x:v>
      </x:c>
      <x:c r="H10" s="40" t="s">
        <x:v>299</x:v>
      </x:c>
      <x:c r="I10" s="30" t="str">
        <x:v>코드 보유</x:v>
      </x:c>
      <x:c r="J10" s="46"/>
    </x:row>
    <x:row r="11" hidden="1">
      <x:c r="A11" s="21"/>
      <x:c r="B11" s="60" t="s">
        <x:v>300</x:v>
      </x:c>
      <x:c r="C11" s="53">
        <x:v>46316.0</x:v>
      </x:c>
      <x:c r="D11" s="30"/>
      <x:c r="E11" s="30" t="str">
        <x:v>개발 B</x:v>
      </x:c>
      <x:c r="F11" s="55" t="s">
        <x:v>289</x:v>
      </x:c>
      <x:c r="G11" s="57" t="s">
        <x:v>301</x:v>
      </x:c>
      <x:c r="H11" s="57" t="s">
        <x:v>302</x:v>
      </x:c>
      <x:c r="I11" s="30" t="str">
        <x:v>미연결</x:v>
      </x:c>
      <x:c r="J11" s="46" t="str">
        <x:v>R2 남음: 문서 분할·임베딩/검색. 현재 DB 발췌 조회를 RAG 완료로 부르지 않음.</x:v>
      </x:c>
    </x:row>
    <x:row r="12" hidden="1">
      <x:c r="A12" s="21"/>
      <x:c r="B12" s="65" t="s">
        <x:v>303</x:v>
      </x:c>
      <x:c r="C12" s="68">
        <x:v>46317.0</x:v>
      </x:c>
      <x:c r="D12" s="70"/>
      <x:c r="E12" s="70" t="str">
        <x:v>PM</x:v>
      </x:c>
      <x:c r="F12" s="73" t="s">
        <x:v>281</x:v>
      </x:c>
      <x:c r="G12" s="74" t="s">
        <x:v>304</x:v>
      </x:c>
      <x:c r="H12" s="74" t="s">
        <x:v>305</x:v>
      </x:c>
      <x:c r="I12" s="70" t="str">
        <x:v>일부 완료</x:v>
      </x:c>
      <x:c r="J12" s="77"/>
    </x:row>
    <x:row r="13" hidden="1">
      <x:c r="A13" s="21"/>
      <x:c r="B13" s="51" t="s">
        <x:v>306</x:v>
      </x:c>
      <x:c r="C13" s="53">
        <x:v>46317.0</x:v>
      </x:c>
      <x:c r="D13" s="30"/>
      <x:c r="E13" s="30" t="str">
        <x:v>분석</x:v>
      </x:c>
      <x:c r="F13" s="55" t="s">
        <x:v>281</x:v>
      </x:c>
      <x:c r="G13" s="57" t="s">
        <x:v>307</x:v>
      </x:c>
      <x:c r="H13" s="57" t="s">
        <x:v>308</x:v>
      </x:c>
      <x:c r="I13" s="30" t="str">
        <x:v>자료 보유</x:v>
      </x:c>
      <x:c r="J13" s="46"/>
    </x:row>
    <x:row r="14" hidden="1">
      <x:c r="A14" s="21"/>
      <x:c r="B14" s="60" t="s">
        <x:v>309</x:v>
      </x:c>
      <x:c r="C14" s="28">
        <x:v>46317.0</x:v>
      </x:c>
      <x:c r="D14" s="30"/>
      <x:c r="E14" s="30" t="str">
        <x:v>개발 A</x:v>
      </x:c>
      <x:c r="F14" s="37" t="s">
        <x:v>285</x:v>
      </x:c>
      <x:c r="G14" s="40" t="s">
        <x:v>310</x:v>
      </x:c>
      <x:c r="H14" s="40" t="s">
        <x:v>311</x:v>
      </x:c>
      <x:c r="I14" s="30" t="str">
        <x:v>코드 보유</x:v>
      </x:c>
      <x:c r="J14" s="46"/>
    </x:row>
    <x:row r="15" hidden="1">
      <x:c r="A15" s="21"/>
      <x:c r="B15" s="60" t="s">
        <x:v>312</x:v>
      </x:c>
      <x:c r="C15" s="53">
        <x:v>46317.0</x:v>
      </x:c>
      <x:c r="D15" s="30"/>
      <x:c r="E15" s="30" t="str">
        <x:v>개발 B</x:v>
      </x:c>
      <x:c r="F15" s="55" t="s">
        <x:v>313</x:v>
      </x:c>
      <x:c r="G15" s="57" t="s">
        <x:v>314</x:v>
      </x:c>
      <x:c r="H15" s="57" t="s">
        <x:v>300</x:v>
      </x:c>
      <x:c r="I15" s="30" t="str">
        <x:v>일부 완료</x:v>
      </x:c>
      <x:c r="J15" s="46" t="str">
        <x:v>사진 Gemini/Opik 연결 완료. 근거 답변·질문평가 R2/R4는 미완료.</x:v>
      </x:c>
    </x:row>
    <x:row r="16" hidden="1">
      <x:c r="A16" s="21"/>
      <x:c r="B16" s="65" t="s">
        <x:v>315</x:v>
      </x:c>
      <x:c r="C16" s="68">
        <x:v>46318.0</x:v>
      </x:c>
      <x:c r="D16" s="70"/>
      <x:c r="E16" s="70" t="str">
        <x:v>PM</x:v>
      </x:c>
      <x:c r="F16" s="73" t="s">
        <x:v>277</x:v>
      </x:c>
      <x:c r="G16" s="74" t="s">
        <x:v>316</x:v>
      </x:c>
      <x:c r="H16" s="74" t="s">
        <x:v>317</x:v>
      </x:c>
      <x:c r="I16" s="70" t="str">
        <x:v>진행 중</x:v>
      </x:c>
      <x:c r="J16" s="77"/>
    </x:row>
    <x:row r="17" hidden="1">
      <x:c r="A17" s="21"/>
      <x:c r="B17" s="51" t="s">
        <x:v>318</x:v>
      </x:c>
      <x:c r="C17" s="53">
        <x:v>46318.0</x:v>
      </x:c>
      <x:c r="D17" s="30"/>
      <x:c r="E17" s="30" t="str">
        <x:v>분석</x:v>
      </x:c>
      <x:c r="F17" s="55" t="s">
        <x:v>319</x:v>
      </x:c>
      <x:c r="G17" s="57" t="s">
        <x:v>320</x:v>
      </x:c>
      <x:c r="H17" s="57" t="s">
        <x:v>321</x:v>
      </x:c>
      <x:c r="I17" s="30" t="str">
        <x:v>남음</x:v>
      </x:c>
      <x:c r="J17" s="46"/>
    </x:row>
    <x:row r="18" hidden="1">
      <x:c r="A18" s="21"/>
      <x:c r="B18" s="60" t="s">
        <x:v>322</x:v>
      </x:c>
      <x:c r="C18" s="28">
        <x:v>46318.0</x:v>
      </x:c>
      <x:c r="D18" s="30"/>
      <x:c r="E18" s="30" t="str">
        <x:v>개발 A</x:v>
      </x:c>
      <x:c r="F18" s="37" t="s">
        <x:v>323</x:v>
      </x:c>
      <x:c r="G18" s="40" t="s">
        <x:v>324</x:v>
      </x:c>
      <x:c r="H18" s="40" t="s">
        <x:v>325</x:v>
      </x:c>
      <x:c r="I18" s="30" t="str">
        <x:v>실동작 확인</x:v>
      </x:c>
      <x:c r="J18" s="46"/>
    </x:row>
    <x:row r="19" hidden="1">
      <x:c r="A19" s="21"/>
      <x:c r="B19" s="60" t="s">
        <x:v>326</x:v>
      </x:c>
      <x:c r="C19" s="53">
        <x:v>46318.0</x:v>
      </x:c>
      <x:c r="D19" s="30"/>
      <x:c r="E19" s="30" t="str">
        <x:v>개발 B</x:v>
      </x:c>
      <x:c r="F19" s="55" t="s">
        <x:v>327</x:v>
      </x:c>
      <x:c r="G19" s="57" t="s">
        <x:v>328</x:v>
      </x:c>
      <x:c r="H19" s="57" t="s">
        <x:v>329</x:v>
      </x:c>
      <x:c r="I19" s="30" t="str">
        <x:v>일부 완료</x:v>
      </x:c>
      <x:c r="J19" s="46" t="str">
        <x:v>관리자 저장/이전새값/재조회/원복 확인 완료. RAG 답변 오류 개선은 R4.</x:v>
      </x:c>
    </x:row>
    <x:row r="20" hidden="1">
      <x:c r="A20" s="21"/>
      <x:c r="B20" s="65" t="s">
        <x:v>330</x:v>
      </x:c>
      <x:c r="C20" s="68">
        <x:v>46319.0</x:v>
      </x:c>
      <x:c r="D20" s="70"/>
      <x:c r="E20" s="70" t="str">
        <x:v>PM</x:v>
      </x:c>
      <x:c r="F20" s="73" t="s">
        <x:v>277</x:v>
      </x:c>
      <x:c r="G20" s="74" t="s">
        <x:v>331</x:v>
      </x:c>
      <x:c r="H20" s="74" t="s">
        <x:v>332</x:v>
      </x:c>
      <x:c r="I20" s="70" t="str">
        <x:v>남음</x:v>
      </x:c>
      <x:c r="J20" s="77"/>
    </x:row>
    <x:row r="21" hidden="1">
      <x:c r="A21" s="21"/>
      <x:c r="B21" s="51" t="s">
        <x:v>333</x:v>
      </x:c>
      <x:c r="C21" s="53">
        <x:v>46319.0</x:v>
      </x:c>
      <x:c r="D21" s="30"/>
      <x:c r="E21" s="30" t="str">
        <x:v>분석</x:v>
      </x:c>
      <x:c r="F21" s="55" t="s">
        <x:v>334</x:v>
      </x:c>
      <x:c r="G21" s="57" t="s">
        <x:v>335</x:v>
      </x:c>
      <x:c r="H21" s="57" t="s">
        <x:v>318</x:v>
      </x:c>
      <x:c r="I21" s="30" t="str">
        <x:v>최종 대조 남음</x:v>
      </x:c>
      <x:c r="J21" s="46"/>
    </x:row>
    <x:row r="22" hidden="1">
      <x:c r="A22" s="21"/>
      <x:c r="B22" s="60"/>
      <x:c r="C22" s="28"/>
      <x:c r="D22" s="30"/>
      <x:c r="E22" s="30"/>
      <x:c r="F22" s="37"/>
      <x:c r="G22" s="40"/>
      <x:c r="H22" s="40"/>
      <x:c r="I22" s="30"/>
      <x:c r="J22" s="46"/>
    </x:row>
    <x:row r="23" hidden="1">
      <x:c r="A23" s="21"/>
      <x:c r="B23" s="60"/>
      <x:c r="C23" s="53"/>
      <x:c r="D23" s="30"/>
      <x:c r="E23" s="30"/>
      <x:c r="F23" s="55"/>
      <x:c r="G23" s="57"/>
      <x:c r="H23" s="57"/>
      <x:c r="I23" s="30"/>
      <x:c r="J23" s="46"/>
    </x:row>
    <x:row r="24">
      <x:c r="A24" s="95"/>
      <x:c r="B24" s="96" t="s">
        <x:v>336</x:v>
      </x:c>
      <x:c r="C24" s="98"/>
      <x:c r="D24" s="98"/>
    </x:row>
    <x:row r="25">
      <x:c r="A25" s="100"/>
      <x:c r="B25" s="36" t="s">
        <x:v>337</x:v>
      </x:c>
    </x:row>
    <x:row r="26">
      <x:c r="A26" s="100"/>
    </x:row>
    <x:row r="27">
      <x:c r="A27" s="103"/>
      <x:c r="B27" s="104" t="s">
        <x:v>67</x:v>
      </x:c>
      <x:c r="C27" s="105" t="s">
        <x:v>1</x:v>
      </x:c>
      <x:c r="D27" s="105" t="s">
        <x:v>338</x:v>
      </x:c>
      <x:c r="E27" s="104" t="s">
        <x:v>339</x:v>
      </x:c>
      <x:c r="F27" s="105" t="s">
        <x:v>340</x:v>
      </x:c>
      <x:c r="G27" s="105" t="s">
        <x:v>268</x:v>
      </x:c>
      <x:c r="H27" s="105" t="s">
        <x:v>341</x:v>
      </x:c>
      <x:c r="I27" s="106" t="str">
        <x:v>이번 범위</x:v>
      </x:c>
      <x:c r="J27" s="106" t="str">
        <x:v>확인 상태</x:v>
      </x:c>
      <x:c r="K27" s="106" t="s">
        <x:v>342</x:v>
      </x:c>
    </x:row>
    <x:row r="28">
      <x:c r="A28" s="107"/>
      <x:c r="B28" s="108">
        <x:v>1.0</x:v>
      </x:c>
      <x:c r="C28" s="108" t="s">
        <x:v>343</x:v>
      </x:c>
      <x:c r="D28" s="109" t="s">
        <x:v>344</x:v>
      </x:c>
      <x:c r="E28" s="110" t="s">
        <x:v>345</x:v>
      </x:c>
      <x:c r="F28" s="108" t="str">
        <x:v>PM</x:v>
      </x:c>
      <x:c r="G28" s="108" t="s">
        <x:v>346</x:v>
      </x:c>
      <x:c r="H28" s="108" t="s">
        <x:v>346</x:v>
      </x:c>
      <x:c r="I28" s="149" t="str">
        <x:v>포함</x:v>
      </x:c>
      <x:c r="J28" s="151" t="str">
        <x:v>합의 완료</x:v>
      </x:c>
      <x:c r="K28" s="152" t="str">
        <x:v>범위 동결. 이번 합의는 Gemini 후보→사용자 선택. 영상/클라우드/예약결제 제외.</x:v>
      </x:c>
    </x:row>
    <x:row r="29">
      <x:c r="A29" s="107"/>
      <x:c r="B29" s="108">
        <x:v>2.0</x:v>
      </x:c>
      <x:c r="C29" s="108" t="s">
        <x:v>343</x:v>
      </x:c>
      <x:c r="D29" s="109" t="s">
        <x:v>347</x:v>
      </x:c>
      <x:c r="E29" s="113" t="s">
        <x:v>348</x:v>
      </x:c>
      <x:c r="F29" s="108" t="str">
        <x:v>개발 A</x:v>
      </x:c>
      <x:c r="G29" s="108" t="s">
        <x:v>346</x:v>
      </x:c>
      <x:c r="H29" s="108" t="s">
        <x:v>346</x:v>
      </x:c>
      <x:c r="I29" s="149" t="str">
        <x:v>포함</x:v>
      </x:c>
      <x:c r="J29" s="151" t="str">
        <x:v>로컬 실행 확인</x:v>
      </x:c>
      <x:c r="K29" s="152" t="str">
        <x:v>localhost:8000 실행·키 예제 보유. 다른 PC 설치는 R6.</x:v>
      </x:c>
    </x:row>
    <x:row r="30">
      <x:c r="A30" s="107"/>
      <x:c r="B30" s="108">
        <x:v>3.0</x:v>
      </x:c>
      <x:c r="C30" s="108" t="s">
        <x:v>343</x:v>
      </x:c>
      <x:c r="D30" s="109" t="s">
        <x:v>349</x:v>
      </x:c>
      <x:c r="E30" s="110" t="s">
        <x:v>350</x:v>
      </x:c>
      <x:c r="F30" s="114" t="str">
        <x:v>개발 A</x:v>
      </x:c>
      <x:c r="G30" s="108" t="s">
        <x:v>346</x:v>
      </x:c>
      <x:c r="H30" s="108" t="s">
        <x:v>346</x:v>
      </x:c>
      <x:c r="I30" s="149" t="str">
        <x:v>포함</x:v>
      </x:c>
      <x:c r="J30" s="151" t="str">
        <x:v>코드 보유</x:v>
      </x:c>
      <x:c r="K30" s="153" t="str">
        <x:v>기존 팀 메뉴/탭 유지.</x:v>
      </x:c>
    </x:row>
    <x:row r="31">
      <x:c r="A31" s="107"/>
      <x:c r="B31" s="108">
        <x:v>4.0</x:v>
      </x:c>
      <x:c r="C31" s="108" t="s">
        <x:v>8</x:v>
      </x:c>
      <x:c r="D31" s="110" t="s">
        <x:v>351</x:v>
      </x:c>
      <x:c r="E31" s="110" t="s">
        <x:v>352</x:v>
      </x:c>
      <x:c r="F31" s="108" t="str">
        <x:v>분석</x:v>
      </x:c>
      <x:c r="G31" s="108" t="s">
        <x:v>346</x:v>
      </x:c>
      <x:c r="H31" s="108" t="s">
        <x:v>346</x:v>
      </x:c>
      <x:c r="I31" s="149" t="str">
        <x:v>포함</x:v>
      </x:c>
      <x:c r="J31" s="151" t="str">
        <x:v>자료 보유</x:v>
      </x:c>
      <x:c r="K31" s="152" t="str">
        <x:v>1,585필지·7,193 등록 주거단위. R1 표본 대조.</x:v>
      </x:c>
    </x:row>
    <x:row r="32">
      <x:c r="A32" s="107"/>
      <x:c r="B32" s="108">
        <x:v>5.0</x:v>
      </x:c>
      <x:c r="C32" s="108" t="s">
        <x:v>14</x:v>
      </x:c>
      <x:c r="D32" s="110" t="s">
        <x:v>351</x:v>
      </x:c>
      <x:c r="E32" s="110" t="s">
        <x:v>353</x:v>
      </x:c>
      <x:c r="F32" s="112" t="str">
        <x:v>분석</x:v>
      </x:c>
      <x:c r="G32" s="108" t="s">
        <x:v>346</x:v>
      </x:c>
      <x:c r="H32" s="108" t="s">
        <x:v>346</x:v>
      </x:c>
      <x:c r="I32" s="149" t="str">
        <x:v>포함</x:v>
      </x:c>
      <x:c r="J32" s="151" t="str">
        <x:v>자료 보유</x:v>
      </x:c>
      <x:c r="K32" s="152" t="str">
        <x:v>자료 연결 완료. 현장 승인 아님.</x:v>
      </x:c>
    </x:row>
    <x:row r="33">
      <x:c r="A33" s="107"/>
      <x:c r="B33" s="108">
        <x:v>6.0</x:v>
      </x:c>
      <x:c r="C33" s="108" t="s">
        <x:v>14</x:v>
      </x:c>
      <x:c r="D33" s="110" t="s">
        <x:v>354</x:v>
      </x:c>
      <x:c r="E33" s="36" t="s">
        <x:v>355</x:v>
      </x:c>
      <x:c r="F33" s="112" t="str">
        <x:v>분석</x:v>
      </x:c>
      <x:c r="G33" s="108" t="s">
        <x:v>346</x:v>
      </x:c>
      <x:c r="H33" s="108" t="s">
        <x:v>346</x:v>
      </x:c>
      <x:c r="I33" s="149" t="str">
        <x:v>포함</x:v>
      </x:c>
      <x:c r="J33" s="151" t="str">
        <x:v>자료 보유</x:v>
      </x:c>
      <x:c r="K33" s="152" t="str">
        <x:v>6/9거점 제안 유지.</x:v>
      </x:c>
    </x:row>
    <x:row r="34">
      <x:c r="A34" s="107"/>
      <x:c r="B34" s="108">
        <x:v>7.0</x:v>
      </x:c>
      <x:c r="C34" s="108" t="s">
        <x:v>14</x:v>
      </x:c>
      <x:c r="D34" s="110" t="s">
        <x:v>356</x:v>
      </x:c>
      <x:c r="E34" s="115" t="s">
        <x:v>357</x:v>
      </x:c>
      <x:c r="F34" s="112" t="str">
        <x:v>분석</x:v>
      </x:c>
      <x:c r="G34" s="108" t="s">
        <x:v>358</x:v>
      </x:c>
      <x:c r="H34" s="108" t="s">
        <x:v>358</x:v>
      </x:c>
      <x:c r="I34" s="149" t="str">
        <x:v>포함</x:v>
      </x:c>
      <x:c r="J34" s="151" t="str">
        <x:v>자료 보유</x:v>
      </x:c>
      <x:c r="K34" s="153" t="str">
        <x:v>팀 분석 보고서·선정 근거 보유.</x:v>
      </x:c>
    </x:row>
    <x:row r="35">
      <x:c r="A35" s="107"/>
      <x:c r="B35" s="108">
        <x:v>8.0</x:v>
      </x:c>
      <x:c r="C35" s="108" t="s">
        <x:v>17</x:v>
      </x:c>
      <x:c r="D35" s="110" t="s">
        <x:v>359</x:v>
      </x:c>
      <x:c r="E35" s="110" t="s">
        <x:v>360</x:v>
      </x:c>
      <x:c r="F35" s="114" t="str">
        <x:v>개발 A</x:v>
      </x:c>
      <x:c r="G35" s="108" t="s">
        <x:v>346</x:v>
      </x:c>
      <x:c r="H35" s="108" t="s">
        <x:v>361</x:v>
      </x:c>
      <x:c r="I35" s="149" t="str">
        <x:v>포함</x:v>
      </x:c>
      <x:c r="J35" s="151" t="str">
        <x:v>재검증 남음</x:v>
      </x:c>
      <x:c r="K35" s="153" t="str">
        <x:v>R5 주소5건·더보기·지우기 재검증.</x:v>
      </x:c>
      <x:c r="L35" s="36" t="s">
        <x:v>362</x:v>
      </x:c>
    </x:row>
    <x:row r="36">
      <x:c r="A36" s="107"/>
      <x:c r="B36" s="108">
        <x:v>9.0</x:v>
      </x:c>
      <x:c r="C36" s="108" t="s">
        <x:v>49</x:v>
      </x:c>
      <x:c r="D36" s="110" t="s">
        <x:v>363</x:v>
      </x:c>
      <x:c r="E36" s="110" t="s">
        <x:v>364</x:v>
      </x:c>
      <x:c r="F36" s="114" t="str">
        <x:v>개발 A</x:v>
      </x:c>
      <x:c r="G36" s="108" t="s">
        <x:v>346</x:v>
      </x:c>
      <x:c r="H36" s="108" t="s">
        <x:v>358</x:v>
      </x:c>
      <x:c r="I36" s="149" t="str">
        <x:v>포함</x:v>
      </x:c>
      <x:c r="J36" s="151" t="str">
        <x:v>코드 보유</x:v>
      </x:c>
      <x:c r="K36" s="153" t="str">
        <x:v>카카오 실제 표시 확인. Leaflet/Folium 전체 필터는 R5.</x:v>
      </x:c>
    </x:row>
    <x:row r="37">
      <x:c r="A37" s="107"/>
      <x:c r="B37" s="108">
        <x:v>10.0</x:v>
      </x:c>
      <x:c r="C37" s="108" t="s">
        <x:v>22</x:v>
      </x:c>
      <x:c r="D37" s="110" t="s">
        <x:v>365</x:v>
      </x:c>
      <x:c r="E37" s="110" t="s">
        <x:v>366</x:v>
      </x:c>
      <x:c r="F37" s="114" t="str">
        <x:v>개발 A</x:v>
      </x:c>
      <x:c r="G37" s="108"/>
      <x:c r="H37" s="108"/>
      <x:c r="I37" s="149" t="str">
        <x:v>포함</x:v>
      </x:c>
      <x:c r="J37" s="151" t="str">
        <x:v>코드 보유</x:v>
      </x:c>
      <x:c r="K37" s="152" t="str">
        <x:v>실제 공식 배정이 아닌 제안.</x:v>
      </x:c>
    </x:row>
    <x:row r="38">
      <x:c r="A38" s="107"/>
      <x:c r="B38" s="108">
        <x:v>11.0</x:v>
      </x:c>
      <x:c r="C38" s="108" t="s">
        <x:v>22</x:v>
      </x:c>
      <x:c r="D38" s="109" t="s">
        <x:v>367</x:v>
      </x:c>
      <x:c r="E38" s="110" t="s">
        <x:v>368</x:v>
      </x:c>
      <x:c r="F38" s="114" t="str">
        <x:v>개발 A</x:v>
      </x:c>
      <x:c r="G38" s="108"/>
      <x:c r="H38" s="108"/>
      <x:c r="I38" s="149" t="str">
        <x:v>포함</x:v>
      </x:c>
      <x:c r="J38" s="151" t="str">
        <x:v>코드 보유</x:v>
      </x:c>
      <x:c r="K38" s="152" t="str">
        <x:v>직선거리. R5 대조.</x:v>
      </x:c>
    </x:row>
    <x:row r="39">
      <x:c r="A39" s="107"/>
      <x:c r="B39" s="108">
        <x:v>12.0</x:v>
      </x:c>
      <x:c r="C39" s="108" t="s">
        <x:v>22</x:v>
      </x:c>
      <x:c r="D39" s="109" t="s">
        <x:v>369</x:v>
      </x:c>
      <x:c r="E39" s="110" t="s">
        <x:v>370</x:v>
      </x:c>
      <x:c r="F39" s="114" t="str">
        <x:v>후속</x:v>
      </x:c>
      <x:c r="G39" s="108"/>
      <x:c r="H39" s="108"/>
      <x:c r="I39" s="149" t="str">
        <x:v>후속 제외</x:v>
      </x:c>
      <x:c r="J39" s="151" t="str">
        <x:v>후속 제외</x:v>
      </x:c>
      <x:c r="K39" s="152" t="str">
        <x:v>추가 자동완성 만들지 않음.</x:v>
      </x:c>
    </x:row>
    <x:row r="40">
      <x:c r="A40" s="107"/>
      <x:c r="B40" s="108">
        <x:v>13.0</x:v>
      </x:c>
      <x:c r="C40" s="108" t="s">
        <x:v>26</x:v>
      </x:c>
      <x:c r="D40" s="109" t="str">
        <x:v>정지 사진·Gemini 후보 연결</x:v>
      </x:c>
      <x:c r="E40" s="109" t="str">
        <x:v>실제 이미지 검증·촬영정보 제거·축소→Gemini→사용자 품목·규격·수량 선택. 영구 스토리지 없음.</x:v>
      </x:c>
      <x:c r="F40" s="114" t="str">
        <x:v>개발 B</x:v>
      </x:c>
      <x:c r="G40" s="108"/>
      <x:c r="H40" s="108"/>
      <x:c r="I40" s="149" t="str">
        <x:v>포함</x:v>
      </x:c>
      <x:c r="J40" s="151" t="str">
        <x:v>실동작 확인</x:v>
      </x:c>
      <x:c r="K40" s="153" t="str">
        <x:v>업로드·Gemini·사용자 선택 확인. 서버 사진 비저장.</x:v>
      </x:c>
    </x:row>
    <x:row r="41">
      <x:c r="A41" s="107"/>
      <x:c r="B41" s="108">
        <x:v>14.0</x:v>
      </x:c>
      <x:c r="C41" s="108" t="s">
        <x:v>41</x:v>
      </x:c>
      <x:c r="D41" s="113" t="s">
        <x:v>371</x:v>
      </x:c>
      <x:c r="E41" s="110" t="s">
        <x:v>372</x:v>
      </x:c>
      <x:c r="F41" s="108" t="str">
        <x:v>분석</x:v>
      </x:c>
      <x:c r="G41" s="108" t="s">
        <x:v>358</x:v>
      </x:c>
      <x:c r="H41" s="108" t="s">
        <x:v>358</x:v>
      </x:c>
      <x:c r="I41" s="149" t="str">
        <x:v>포함</x:v>
      </x:c>
      <x:c r="J41" s="151" t="str">
        <x:v>선정 완료</x:v>
      </x:c>
      <x:c r="K41" s="153" t="str">
        <x:v>추가15장×5방식=75회. YOLO/DINO 서비스 미채택. 1000장 평가 중단.</x:v>
      </x:c>
    </x:row>
    <x:row r="42">
      <x:c r="A42" s="107"/>
      <x:c r="B42" s="108">
        <x:v>15.0</x:v>
      </x:c>
      <x:c r="C42" s="108" t="s">
        <x:v>45</x:v>
      </x:c>
      <x:c r="D42" s="109" t="s">
        <x:v>373</x:v>
      </x:c>
      <x:c r="E42" s="109" t="s">
        <x:v>374</x:v>
      </x:c>
      <x:c r="F42" s="112" t="str">
        <x:v>분석</x:v>
      </x:c>
      <x:c r="G42" s="108"/>
      <x:c r="H42" s="108"/>
      <x:c r="I42" s="149" t="str">
        <x:v>포함</x:v>
      </x:c>
      <x:c r="J42" s="151" t="str">
        <x:v>최신 대조 남음</x:v>
      </x:c>
      <x:c r="K42" s="153" t="str">
        <x:v>R1: 시연 품목5개·질문10개 근거 대조. 전체268규칙 최신확정 아님.</x:v>
      </x:c>
    </x:row>
    <x:row r="43">
      <x:c r="A43" s="107"/>
      <x:c r="B43" s="108">
        <x:v>16.0</x:v>
      </x:c>
      <x:c r="C43" s="108" t="s">
        <x:v>45</x:v>
      </x:c>
      <x:c r="D43" s="113" t="s">
        <x:v>375</x:v>
      </x:c>
      <x:c r="E43" s="109" t="s">
        <x:v>376</x:v>
      </x:c>
      <x:c r="F43" s="108" t="str">
        <x:v>개발 B</x:v>
      </x:c>
      <x:c r="G43" s="108"/>
      <x:c r="H43" s="108"/>
      <x:c r="I43" s="149" t="str">
        <x:v>포함</x:v>
      </x:c>
      <x:c r="J43" s="151" t="str">
        <x:v>미연결</x:v>
      </x:c>
      <x:c r="K43" s="153" t="str">
        <x:v>R2/R3: 문서 검색+Gemini+출처. 기존 함수·라우터 재사용.</x:v>
      </x:c>
    </x:row>
    <x:row r="44" ht="80" customHeight="1">
      <x:c r="A44" s="107"/>
      <x:c r="B44" s="108">
        <x:v>17.0</x:v>
      </x:c>
      <x:c r="C44" s="108" t="s">
        <x:v>45</x:v>
      </x:c>
      <x:c r="D44" s="110" t="str">
        <x:v>Opik 기록·답변 평가</x:v>
      </x:c>
      <x:c r="E44" s="110" t="str">
        <x:v>후보·보류·오류·시간·토큰 기록. 질문10건의 값/출처/보류를 평가하며 정답 확률을 임의 생성하지 않음.</x:v>
      </x:c>
      <x:c r="F44" s="112" t="str">
        <x:v>분석 + 개발 B</x:v>
      </x:c>
      <x:c r="G44" s="108"/>
      <x:c r="H44" s="108"/>
      <x:c r="I44" s="149" t="str">
        <x:v>포함</x:v>
      </x:c>
      <x:c r="J44" s="151" t="str">
        <x:v>일부 확인</x:v>
      </x:c>
      <x:c r="K44" s="153" t="str">
        <x:v>Opik 사후75건+실호출 후보/보류 확인. RAG 질문 평가는 R4. 환각 자동심사 미실행.</x:v>
      </x:c>
    </x:row>
    <x:row r="45">
      <x:c r="A45" s="107"/>
      <x:c r="B45" s="108">
        <x:v>18.0</x:v>
      </x:c>
      <x:c r="C45" s="108" t="s">
        <x:v>26</x:v>
      </x:c>
      <x:c r="D45" s="109" t="str">
        <x:v>공식 금액·신고 링크</x:v>
      </x:c>
      <x:c r="E45" s="110" t="str">
        <x:v>확정한 규격의 DB 참고금액·공식 신고 링크. 실제 신청/결제 서비스 구현 제외.</x:v>
      </x:c>
      <x:c r="F45" s="114" t="str">
        <x:v>개발 B</x:v>
      </x:c>
      <x:c r="G45" s="108"/>
      <x:c r="H45" s="108"/>
      <x:c r="I45" s="149" t="str">
        <x:v>포함</x:v>
      </x:c>
      <x:c r="J45" s="151" t="str">
        <x:v>실동작 확인</x:v>
      </x:c>
      <x:c r="K45" s="153" t="str">
        <x:v>규격별 DB금액·공식 신고 링크 연결. 예약/결제 API 제외.</x:v>
      </x:c>
    </x:row>
    <x:row r="46">
      <x:c r="A46" s="107"/>
      <x:c r="B46" s="108">
        <x:v>19.0</x:v>
      </x:c>
      <x:c r="C46" s="108" t="s">
        <x:v>343</x:v>
      </x:c>
      <x:c r="D46" s="109" t="s">
        <x:v>377</x:v>
      </x:c>
      <x:c r="E46" s="109" t="s">
        <x:v>378</x:v>
      </x:c>
      <x:c r="F46" s="112" t="str">
        <x:v>개발 A/B + PM</x:v>
      </x:c>
      <x:c r="G46" s="108"/>
      <x:c r="H46" s="108"/>
      <x:c r="I46" s="149" t="str">
        <x:v>포함</x:v>
      </x:c>
      <x:c r="J46" s="151" t="str">
        <x:v>팀 PC 검증 대기</x:v>
      </x:c>
      <x:c r="K46" s="153" t="str">
        <x:v>한 PC HTTP18건·관리자 수정/원복 확인. 다른 PC는 R6.</x:v>
      </x:c>
    </x:row>
    <x:row r="47">
      <x:c r="A47" s="107"/>
      <x:c r="B47" s="108">
        <x:v>20.0</x:v>
      </x:c>
      <x:c r="C47" s="108" t="s">
        <x:v>343</x:v>
      </x:c>
      <x:c r="D47" s="109" t="s">
        <x:v>379</x:v>
      </x:c>
      <x:c r="E47" s="109" t="s">
        <x:v>380</x:v>
      </x:c>
      <x:c r="F47" s="108" t="str">
        <x:v>PM + 팀</x:v>
      </x:c>
      <x:c r="G47" s="108"/>
      <x:c r="H47" s="108"/>
      <x:c r="I47" s="149" t="str">
        <x:v>포함</x:v>
      </x:c>
      <x:c r="J47" s="151" t="str">
        <x:v>남음</x:v>
      </x:c>
      <x:c r="K47" s="153" t="str">
        <x:v>README·캡처·ERD/명세 준비. 제출형식·최종 발표는 팀 확정.</x:v>
      </x:c>
    </x:row>
    <x:row r="48">
      <x:c r="A48" s="100"/>
    </x:row>
    <x:row r="49">
      <x:c r="A49" s="100"/>
    </x:row>
    <x:row r="50">
      <x:c r="A50" s="100"/>
      <x:c r="B50" s="123" t="s">
        <x:v>381</x:v>
      </x:c>
      <x:c r="C50" s="123" t="s">
        <x:v>382</x:v>
      </x:c>
    </x:row>
    <x:row r="51">
      <x:c r="A51" s="100"/>
      <x:c r="B51" s="63" t="s">
        <x:v>383</x:v>
      </x:c>
      <x:c r="C51" s="63" t="s">
        <x:v>384</x:v>
      </x:c>
    </x:row>
    <x:row r="52">
      <x:c r="A52" s="100"/>
      <x:c r="B52" s="63" t="s">
        <x:v>385</x:v>
      </x:c>
      <x:c r="C52" s="63" t="s">
        <x:v>386</x:v>
      </x:c>
    </x:row>
    <x:row r="53">
      <x:c r="A53" s="100"/>
      <x:c r="B53" s="63" t="s">
        <x:v>387</x:v>
      </x:c>
      <x:c r="C53" s="63" t="s">
        <x:v>388</x:v>
      </x:c>
    </x:row>
    <x:row r="54">
      <x:c r="A54" s="100"/>
      <x:c r="B54" s="63" t="s">
        <x:v>389</x:v>
      </x:c>
      <x:c r="C54" s="63" t="s">
        <x:v>390</x:v>
      </x:c>
    </x:row>
    <x:row r="55">
      <x:c r="A55" s="100"/>
    </x:row>
    <x:row r="56">
      <x:c r="A56" s="100"/>
    </x:row>
    <x:row r="57">
      <x:c r="A57" s="100"/>
    </x:row>
    <x:row r="58">
      <x:c r="A58" s="100"/>
    </x:row>
    <x:row r="59">
      <x:c r="A59" s="100"/>
    </x:row>
    <x:row r="60">
      <x:c r="A60" s="100"/>
    </x:row>
    <x:row r="61">
      <x:c r="A61" s="100"/>
    </x:row>
    <x:row r="62">
      <x:c r="A62" s="100"/>
    </x:row>
    <x:row r="63">
      <x:c r="A63" s="100"/>
    </x:row>
    <x:row r="64">
      <x:c r="A64" s="100"/>
    </x:row>
    <x:row r="65">
      <x:c r="A65" s="100"/>
    </x:row>
    <x:row r="66">
      <x:c r="A66" s="100"/>
    </x:row>
    <x:row r="67">
      <x:c r="A67" s="100"/>
    </x:row>
    <x:row r="68">
      <x:c r="A68" s="100"/>
    </x:row>
    <x:row r="69">
      <x:c r="A69" s="100"/>
    </x:row>
    <x:row r="70">
      <x:c r="A70" s="100"/>
    </x:row>
    <x:row r="71">
      <x:c r="A71" s="100"/>
    </x:row>
    <x:row r="72">
      <x:c r="A72" s="100"/>
    </x:row>
    <x:row r="73">
      <x:c r="A73" s="100"/>
    </x:row>
    <x:row r="74">
      <x:c r="A74" s="100"/>
    </x:row>
    <x:row r="75">
      <x:c r="A75" s="100"/>
    </x:row>
    <x:row r="76">
      <x:c r="A76" s="100"/>
    </x:row>
    <x:row r="77">
      <x:c r="A77" s="100"/>
    </x:row>
    <x:row r="78">
      <x:c r="A78" s="100"/>
    </x:row>
    <x:row r="79">
      <x:c r="A79" s="100"/>
    </x:row>
    <x:row r="80">
      <x:c r="A80" s="100"/>
    </x:row>
    <x:row r="81">
      <x:c r="A81" s="100"/>
    </x:row>
    <x:row r="82">
      <x:c r="A82" s="100"/>
    </x:row>
    <x:row r="83">
      <x:c r="A83" s="100"/>
    </x:row>
    <x:row r="84">
      <x:c r="A84" s="100"/>
    </x:row>
    <x:row r="85">
      <x:c r="A85" s="100"/>
    </x:row>
    <x:row r="86">
      <x:c r="A86" s="100"/>
    </x:row>
    <x:row r="87">
      <x:c r="A87" s="100"/>
    </x:row>
    <x:row r="88">
      <x:c r="A88" s="100"/>
    </x:row>
    <x:row r="89">
      <x:c r="A89" s="100"/>
    </x:row>
    <x:row r="90">
      <x:c r="A90" s="100"/>
    </x:row>
    <x:row r="91">
      <x:c r="A91" s="100"/>
    </x:row>
    <x:row r="92">
      <x:c r="A92" s="100"/>
    </x:row>
    <x:row r="93">
      <x:c r="A93" s="100"/>
    </x:row>
    <x:row r="94">
      <x:c r="A94" s="100"/>
    </x:row>
    <x:row r="95">
      <x:c r="A95" s="100"/>
    </x:row>
    <x:row r="96">
      <x:c r="A96" s="100"/>
    </x:row>
    <x:row r="97">
      <x:c r="A97" s="100"/>
    </x:row>
    <x:row r="98">
      <x:c r="A98" s="100"/>
    </x:row>
    <x:row r="99">
      <x:c r="A99" s="100"/>
    </x:row>
    <x:row r="100">
      <x:c r="A100" s="100"/>
    </x:row>
    <x:row r="101">
      <x:c r="A101" s="100"/>
    </x:row>
    <x:row r="102">
      <x:c r="A102" s="100"/>
    </x:row>
    <x:row r="103">
      <x:c r="A103" s="100"/>
    </x:row>
    <x:row r="104">
      <x:c r="A104" s="100"/>
    </x:row>
    <x:row r="105">
      <x:c r="A105" s="100"/>
    </x:row>
    <x:row r="106">
      <x:c r="A106" s="100"/>
    </x:row>
    <x:row r="107">
      <x:c r="A107" s="100"/>
    </x:row>
    <x:row r="108">
      <x:c r="A108" s="100"/>
    </x:row>
    <x:row r="109">
      <x:c r="A109" s="100"/>
    </x:row>
    <x:row r="110">
      <x:c r="A110" s="100"/>
    </x:row>
    <x:row r="111">
      <x:c r="A111" s="100"/>
    </x:row>
    <x:row r="112">
      <x:c r="A112" s="100"/>
    </x:row>
    <x:row r="113">
      <x:c r="A113" s="100"/>
    </x:row>
    <x:row r="114">
      <x:c r="A114" s="100"/>
    </x:row>
    <x:row r="115">
      <x:c r="A115" s="100"/>
    </x:row>
    <x:row r="116">
      <x:c r="A116" s="100"/>
    </x:row>
    <x:row r="117">
      <x:c r="A117" s="100"/>
    </x:row>
    <x:row r="118">
      <x:c r="A118" s="100"/>
    </x:row>
    <x:row r="119">
      <x:c r="A119" s="100"/>
    </x:row>
    <x:row r="120">
      <x:c r="A120" s="100"/>
    </x:row>
    <x:row r="121">
      <x:c r="A121" s="100"/>
    </x:row>
    <x:row r="122">
      <x:c r="A122" s="100"/>
    </x:row>
    <x:row r="123">
      <x:c r="A123" s="100"/>
    </x:row>
    <x:row r="124">
      <x:c r="A124" s="100"/>
    </x:row>
    <x:row r="125">
      <x:c r="A125" s="100"/>
    </x:row>
    <x:row r="126">
      <x:c r="A126" s="100"/>
    </x:row>
    <x:row r="127">
      <x:c r="A127" s="100"/>
    </x:row>
    <x:row r="128">
      <x:c r="A128" s="100"/>
    </x:row>
    <x:row r="129">
      <x:c r="A129" s="100"/>
    </x:row>
    <x:row r="130">
      <x:c r="A130" s="100"/>
    </x:row>
    <x:row r="131">
      <x:c r="A131" s="100"/>
    </x:row>
    <x:row r="132">
      <x:c r="A132" s="100"/>
    </x:row>
    <x:row r="133">
      <x:c r="A133" s="100"/>
    </x:row>
    <x:row r="134">
      <x:c r="A134" s="100"/>
    </x:row>
    <x:row r="135">
      <x:c r="A135" s="100"/>
    </x:row>
    <x:row r="136">
      <x:c r="A136" s="100"/>
    </x:row>
    <x:row r="137">
      <x:c r="A137" s="100"/>
    </x:row>
    <x:row r="138">
      <x:c r="A138" s="100"/>
    </x:row>
    <x:row r="139">
      <x:c r="A139" s="100"/>
    </x:row>
    <x:row r="140">
      <x:c r="A140" s="100"/>
    </x:row>
    <x:row r="141">
      <x:c r="A141" s="100"/>
    </x:row>
    <x:row r="142">
      <x:c r="A142" s="100"/>
    </x:row>
    <x:row r="143">
      <x:c r="A143" s="100"/>
    </x:row>
    <x:row r="144">
      <x:c r="A144" s="100"/>
    </x:row>
    <x:row r="145">
      <x:c r="A145" s="100"/>
    </x:row>
    <x:row r="146">
      <x:c r="A146" s="100"/>
    </x:row>
    <x:row r="147">
      <x:c r="A147" s="100"/>
    </x:row>
    <x:row r="148">
      <x:c r="A148" s="100"/>
    </x:row>
    <x:row r="149">
      <x:c r="A149" s="100"/>
    </x:row>
    <x:row r="150">
      <x:c r="A150" s="100"/>
    </x:row>
    <x:row r="151">
      <x:c r="A151" s="100"/>
    </x:row>
    <x:row r="152">
      <x:c r="A152" s="100"/>
    </x:row>
    <x:row r="153">
      <x:c r="A153" s="100"/>
    </x:row>
    <x:row r="154">
      <x:c r="A154" s="100"/>
    </x:row>
    <x:row r="155">
      <x:c r="A155" s="100"/>
    </x:row>
    <x:row r="156">
      <x:c r="A156" s="100"/>
    </x:row>
    <x:row r="157">
      <x:c r="A157" s="100"/>
    </x:row>
    <x:row r="158">
      <x:c r="A158" s="100"/>
    </x:row>
    <x:row r="159">
      <x:c r="A159" s="100"/>
    </x:row>
    <x:row r="160">
      <x:c r="A160" s="100"/>
    </x:row>
    <x:row r="161">
      <x:c r="A161" s="100"/>
    </x:row>
    <x:row r="162">
      <x:c r="A162" s="100"/>
    </x:row>
    <x:row r="163">
      <x:c r="A163" s="100"/>
    </x:row>
    <x:row r="164">
      <x:c r="A164" s="100"/>
    </x:row>
    <x:row r="165">
      <x:c r="A165" s="100"/>
    </x:row>
    <x:row r="166">
      <x:c r="A166" s="100"/>
    </x:row>
    <x:row r="167">
      <x:c r="A167" s="100"/>
    </x:row>
    <x:row r="168">
      <x:c r="A168" s="100"/>
    </x:row>
    <x:row r="169">
      <x:c r="A169" s="100"/>
    </x:row>
    <x:row r="170">
      <x:c r="A170" s="100"/>
    </x:row>
    <x:row r="171">
      <x:c r="A171" s="100"/>
    </x:row>
    <x:row r="172">
      <x:c r="A172" s="100"/>
    </x:row>
    <x:row r="173">
      <x:c r="A173" s="100"/>
    </x:row>
    <x:row r="174">
      <x:c r="A174" s="100"/>
    </x:row>
    <x:row r="175">
      <x:c r="A175" s="100"/>
    </x:row>
    <x:row r="176">
      <x:c r="A176" s="100"/>
    </x:row>
    <x:row r="177">
      <x:c r="A177" s="100"/>
    </x:row>
    <x:row r="178">
      <x:c r="A178" s="100"/>
    </x:row>
    <x:row r="179">
      <x:c r="A179" s="100"/>
    </x:row>
    <x:row r="180">
      <x:c r="A180" s="100"/>
    </x:row>
    <x:row r="181">
      <x:c r="A181" s="100"/>
    </x:row>
    <x:row r="182">
      <x:c r="A182" s="100"/>
    </x:row>
    <x:row r="183">
      <x:c r="A183" s="100"/>
    </x:row>
    <x:row r="184">
      <x:c r="A184" s="100"/>
    </x:row>
    <x:row r="185">
      <x:c r="A185" s="100"/>
    </x:row>
    <x:row r="186">
      <x:c r="A186" s="100"/>
    </x:row>
    <x:row r="187">
      <x:c r="A187" s="100"/>
    </x:row>
    <x:row r="188">
      <x:c r="A188" s="100"/>
    </x:row>
    <x:row r="189">
      <x:c r="A189" s="100"/>
    </x:row>
    <x:row r="190">
      <x:c r="A190" s="100"/>
    </x:row>
    <x:row r="191">
      <x:c r="A191" s="100"/>
    </x:row>
    <x:row r="192">
      <x:c r="A192" s="100"/>
    </x:row>
    <x:row r="193">
      <x:c r="A193" s="100"/>
    </x:row>
    <x:row r="194">
      <x:c r="A194" s="100"/>
    </x:row>
    <x:row r="195">
      <x:c r="A195" s="100"/>
    </x:row>
    <x:row r="196">
      <x:c r="A196" s="100"/>
    </x:row>
    <x:row r="197">
      <x:c r="A197" s="100"/>
    </x:row>
    <x:row r="198">
      <x:c r="A198" s="100"/>
    </x:row>
    <x:row r="199">
      <x:c r="A199" s="100"/>
    </x:row>
    <x:row r="200">
      <x:c r="A200" s="100"/>
    </x:row>
    <x:row r="201">
      <x:c r="A201" s="100"/>
    </x:row>
    <x:row r="202">
      <x:c r="A202" s="100"/>
    </x:row>
    <x:row r="203">
      <x:c r="A203" s="100"/>
    </x:row>
    <x:row r="204">
      <x:c r="A204" s="100"/>
    </x:row>
    <x:row r="205">
      <x:c r="A205" s="100"/>
    </x:row>
    <x:row r="206">
      <x:c r="A206" s="100"/>
    </x:row>
    <x:row r="207">
      <x:c r="A207" s="100"/>
    </x:row>
    <x:row r="208">
      <x:c r="A208" s="100"/>
    </x:row>
    <x:row r="209">
      <x:c r="A209" s="100"/>
    </x:row>
    <x:row r="210">
      <x:c r="A210" s="100"/>
    </x:row>
    <x:row r="211">
      <x:c r="A211" s="100"/>
    </x:row>
    <x:row r="212">
      <x:c r="A212" s="100"/>
    </x:row>
    <x:row r="213">
      <x:c r="A213" s="100"/>
    </x:row>
    <x:row r="214">
      <x:c r="A214" s="100"/>
    </x:row>
    <x:row r="215">
      <x:c r="A215" s="100"/>
    </x:row>
    <x:row r="216">
      <x:c r="A216" s="100"/>
    </x:row>
    <x:row r="217">
      <x:c r="A217" s="100"/>
    </x:row>
    <x:row r="218">
      <x:c r="A218" s="100"/>
    </x:row>
    <x:row r="219">
      <x:c r="A219" s="100"/>
    </x:row>
    <x:row r="220">
      <x:c r="A220" s="100"/>
    </x:row>
    <x:row r="221">
      <x:c r="A221" s="100"/>
    </x:row>
    <x:row r="222">
      <x:c r="A222" s="100"/>
    </x:row>
    <x:row r="223">
      <x:c r="A223" s="100"/>
    </x:row>
    <x:row r="224">
      <x:c r="A224" s="100"/>
    </x:row>
    <x:row r="225">
      <x:c r="A225" s="100"/>
    </x:row>
    <x:row r="226">
      <x:c r="A226" s="100"/>
    </x:row>
    <x:row r="227">
      <x:c r="A227" s="100"/>
    </x:row>
    <x:row r="228">
      <x:c r="A228" s="100"/>
    </x:row>
    <x:row r="229">
      <x:c r="A229" s="100"/>
    </x:row>
    <x:row r="230">
      <x:c r="A230" s="100"/>
    </x:row>
    <x:row r="231">
      <x:c r="A231" s="100"/>
    </x:row>
    <x:row r="232">
      <x:c r="A232" s="100"/>
    </x:row>
    <x:row r="233">
      <x:c r="A233" s="100"/>
    </x:row>
    <x:row r="234">
      <x:c r="A234" s="100"/>
    </x:row>
    <x:row r="235">
      <x:c r="A235" s="100"/>
    </x:row>
    <x:row r="236">
      <x:c r="A236" s="100"/>
    </x:row>
    <x:row r="237">
      <x:c r="A237" s="100"/>
    </x:row>
    <x:row r="238">
      <x:c r="A238" s="100"/>
    </x:row>
    <x:row r="239">
      <x:c r="A239" s="100"/>
    </x:row>
    <x:row r="240">
      <x:c r="A240" s="100"/>
    </x:row>
    <x:row r="241">
      <x:c r="A241" s="100"/>
    </x:row>
    <x:row r="242">
      <x:c r="A242" s="100"/>
    </x:row>
    <x:row r="243">
      <x:c r="A243" s="100"/>
    </x:row>
    <x:row r="244">
      <x:c r="A244" s="100"/>
    </x:row>
    <x:row r="245">
      <x:c r="A245" s="100"/>
    </x:row>
    <x:row r="246">
      <x:c r="A246" s="100"/>
    </x:row>
    <x:row r="247">
      <x:c r="A247" s="100"/>
    </x:row>
    <x:row r="248">
      <x:c r="A248" s="100"/>
    </x:row>
    <x:row r="249">
      <x:c r="A249" s="100"/>
    </x:row>
    <x:row r="250">
      <x:c r="A250" s="100"/>
    </x:row>
    <x:row r="251">
      <x:c r="A251" s="100"/>
    </x:row>
    <x:row r="252">
      <x:c r="A252" s="100"/>
    </x:row>
    <x:row r="253">
      <x:c r="A253" s="100"/>
    </x:row>
    <x:row r="254">
      <x:c r="A254" s="100"/>
    </x:row>
    <x:row r="255">
      <x:c r="A255" s="100"/>
    </x:row>
    <x:row r="256">
      <x:c r="A256" s="100"/>
    </x:row>
    <x:row r="257">
      <x:c r="A257" s="100"/>
    </x:row>
    <x:row r="258">
      <x:c r="A258" s="100"/>
    </x:row>
    <x:row r="259">
      <x:c r="A259" s="100"/>
    </x:row>
    <x:row r="260">
      <x:c r="A260" s="100"/>
    </x:row>
    <x:row r="261">
      <x:c r="A261" s="100"/>
    </x:row>
    <x:row r="262">
      <x:c r="A262" s="100"/>
    </x:row>
    <x:row r="263">
      <x:c r="A263" s="100"/>
    </x:row>
    <x:row r="264">
      <x:c r="A264" s="100"/>
    </x:row>
    <x:row r="265">
      <x:c r="A265" s="100"/>
    </x:row>
    <x:row r="266">
      <x:c r="A266" s="100"/>
    </x:row>
    <x:row r="267">
      <x:c r="A267" s="100"/>
    </x:row>
    <x:row r="268">
      <x:c r="A268" s="100"/>
    </x:row>
    <x:row r="269">
      <x:c r="A269" s="100"/>
    </x:row>
    <x:row r="270">
      <x:c r="A270" s="100"/>
    </x:row>
    <x:row r="271">
      <x:c r="A271" s="100"/>
    </x:row>
    <x:row r="272">
      <x:c r="A272" s="100"/>
    </x:row>
    <x:row r="273">
      <x:c r="A273" s="100"/>
    </x:row>
    <x:row r="274">
      <x:c r="A274" s="100"/>
    </x:row>
    <x:row r="275">
      <x:c r="A275" s="100"/>
    </x:row>
    <x:row r="276">
      <x:c r="A276" s="100"/>
    </x:row>
    <x:row r="277">
      <x:c r="A277" s="100"/>
    </x:row>
    <x:row r="278">
      <x:c r="A278" s="100"/>
    </x:row>
    <x:row r="279">
      <x:c r="A279" s="100"/>
    </x:row>
    <x:row r="280">
      <x:c r="A280" s="100"/>
    </x:row>
    <x:row r="281">
      <x:c r="A281" s="100"/>
    </x:row>
    <x:row r="282">
      <x:c r="A282" s="100"/>
    </x:row>
    <x:row r="283">
      <x:c r="A283" s="100"/>
    </x:row>
    <x:row r="284">
      <x:c r="A284" s="100"/>
    </x:row>
    <x:row r="285">
      <x:c r="A285" s="100"/>
    </x:row>
    <x:row r="286">
      <x:c r="A286" s="100"/>
    </x:row>
    <x:row r="287">
      <x:c r="A287" s="100"/>
    </x:row>
    <x:row r="288">
      <x:c r="A288" s="100"/>
    </x:row>
    <x:row r="289">
      <x:c r="A289" s="100"/>
    </x:row>
    <x:row r="290">
      <x:c r="A290" s="100"/>
    </x:row>
    <x:row r="291">
      <x:c r="A291" s="100"/>
    </x:row>
    <x:row r="292">
      <x:c r="A292" s="100"/>
    </x:row>
    <x:row r="293">
      <x:c r="A293" s="100"/>
    </x:row>
    <x:row r="294">
      <x:c r="A294" s="100"/>
    </x:row>
    <x:row r="295">
      <x:c r="A295" s="100"/>
    </x:row>
    <x:row r="296">
      <x:c r="A296" s="100"/>
    </x:row>
    <x:row r="297">
      <x:c r="A297" s="100"/>
    </x:row>
    <x:row r="298">
      <x:c r="A298" s="100"/>
    </x:row>
    <x:row r="299">
      <x:c r="A299" s="100"/>
    </x:row>
    <x:row r="300">
      <x:c r="A300" s="100"/>
    </x:row>
    <x:row r="301">
      <x:c r="A301" s="100"/>
    </x:row>
    <x:row r="302">
      <x:c r="A302" s="100"/>
    </x:row>
    <x:row r="303">
      <x:c r="A303" s="100"/>
    </x:row>
    <x:row r="304">
      <x:c r="A304" s="100"/>
    </x:row>
    <x:row r="305">
      <x:c r="A305" s="100"/>
    </x:row>
    <x:row r="306">
      <x:c r="A306" s="100"/>
    </x:row>
    <x:row r="307">
      <x:c r="A307" s="100"/>
    </x:row>
    <x:row r="308">
      <x:c r="A308" s="100"/>
    </x:row>
    <x:row r="309">
      <x:c r="A309" s="100"/>
    </x:row>
    <x:row r="310">
      <x:c r="A310" s="100"/>
    </x:row>
    <x:row r="311">
      <x:c r="A311" s="100"/>
    </x:row>
    <x:row r="312">
      <x:c r="A312" s="100"/>
    </x:row>
    <x:row r="313">
      <x:c r="A313" s="100"/>
    </x:row>
    <x:row r="314">
      <x:c r="A314" s="100"/>
    </x:row>
    <x:row r="315">
      <x:c r="A315" s="100"/>
    </x:row>
    <x:row r="316">
      <x:c r="A316" s="100"/>
    </x:row>
    <x:row r="317">
      <x:c r="A317" s="100"/>
    </x:row>
    <x:row r="318">
      <x:c r="A318" s="100"/>
    </x:row>
    <x:row r="319">
      <x:c r="A319" s="100"/>
    </x:row>
    <x:row r="320">
      <x:c r="A320" s="100"/>
    </x:row>
    <x:row r="321">
      <x:c r="A321" s="100"/>
    </x:row>
    <x:row r="322">
      <x:c r="A322" s="100"/>
    </x:row>
    <x:row r="323">
      <x:c r="A323" s="100"/>
    </x:row>
    <x:row r="324">
      <x:c r="A324" s="100"/>
    </x:row>
    <x:row r="325">
      <x:c r="A325" s="100"/>
    </x:row>
    <x:row r="326">
      <x:c r="A326" s="100"/>
    </x:row>
    <x:row r="327">
      <x:c r="A327" s="100"/>
    </x:row>
    <x:row r="328">
      <x:c r="A328" s="100"/>
    </x:row>
    <x:row r="329">
      <x:c r="A329" s="100"/>
    </x:row>
    <x:row r="330">
      <x:c r="A330" s="100"/>
    </x:row>
    <x:row r="331">
      <x:c r="A331" s="100"/>
    </x:row>
    <x:row r="332">
      <x:c r="A332" s="100"/>
    </x:row>
    <x:row r="333">
      <x:c r="A333" s="100"/>
    </x:row>
    <x:row r="334">
      <x:c r="A334" s="100"/>
    </x:row>
    <x:row r="335">
      <x:c r="A335" s="100"/>
    </x:row>
    <x:row r="336">
      <x:c r="A336" s="100"/>
    </x:row>
    <x:row r="337">
      <x:c r="A337" s="100"/>
    </x:row>
    <x:row r="338">
      <x:c r="A338" s="100"/>
    </x:row>
    <x:row r="339">
      <x:c r="A339" s="100"/>
    </x:row>
    <x:row r="340">
      <x:c r="A340" s="100"/>
    </x:row>
    <x:row r="341">
      <x:c r="A341" s="100"/>
    </x:row>
    <x:row r="342">
      <x:c r="A342" s="100"/>
    </x:row>
    <x:row r="343">
      <x:c r="A343" s="100"/>
    </x:row>
    <x:row r="344">
      <x:c r="A344" s="100"/>
    </x:row>
    <x:row r="345">
      <x:c r="A345" s="100"/>
    </x:row>
    <x:row r="346">
      <x:c r="A346" s="100"/>
    </x:row>
    <x:row r="347">
      <x:c r="A347" s="100"/>
    </x:row>
    <x:row r="348">
      <x:c r="A348" s="100"/>
    </x:row>
    <x:row r="349">
      <x:c r="A349" s="100"/>
    </x:row>
    <x:row r="350">
      <x:c r="A350" s="100"/>
    </x:row>
    <x:row r="351">
      <x:c r="A351" s="100"/>
    </x:row>
    <x:row r="352">
      <x:c r="A352" s="100"/>
    </x:row>
    <x:row r="353">
      <x:c r="A353" s="100"/>
    </x:row>
    <x:row r="354">
      <x:c r="A354" s="100"/>
    </x:row>
    <x:row r="355">
      <x:c r="A355" s="100"/>
    </x:row>
    <x:row r="356">
      <x:c r="A356" s="100"/>
    </x:row>
    <x:row r="357">
      <x:c r="A357" s="100"/>
    </x:row>
    <x:row r="358">
      <x:c r="A358" s="100"/>
    </x:row>
    <x:row r="359">
      <x:c r="A359" s="100"/>
    </x:row>
    <x:row r="360">
      <x:c r="A360" s="100"/>
    </x:row>
    <x:row r="361">
      <x:c r="A361" s="100"/>
    </x:row>
    <x:row r="362">
      <x:c r="A362" s="100"/>
    </x:row>
    <x:row r="363">
      <x:c r="A363" s="100"/>
    </x:row>
    <x:row r="364">
      <x:c r="A364" s="100"/>
    </x:row>
    <x:row r="365">
      <x:c r="A365" s="100"/>
    </x:row>
    <x:row r="366">
      <x:c r="A366" s="100"/>
    </x:row>
    <x:row r="367">
      <x:c r="A367" s="100"/>
    </x:row>
    <x:row r="368">
      <x:c r="A368" s="100"/>
    </x:row>
    <x:row r="369">
      <x:c r="A369" s="100"/>
    </x:row>
    <x:row r="370">
      <x:c r="A370" s="100"/>
    </x:row>
    <x:row r="371">
      <x:c r="A371" s="100"/>
    </x:row>
    <x:row r="372">
      <x:c r="A372" s="100"/>
    </x:row>
    <x:row r="373">
      <x:c r="A373" s="100"/>
    </x:row>
    <x:row r="374">
      <x:c r="A374" s="100"/>
    </x:row>
    <x:row r="375">
      <x:c r="A375" s="100"/>
    </x:row>
    <x:row r="376">
      <x:c r="A376" s="100"/>
    </x:row>
    <x:row r="377">
      <x:c r="A377" s="100"/>
    </x:row>
    <x:row r="378">
      <x:c r="A378" s="100"/>
    </x:row>
    <x:row r="379">
      <x:c r="A379" s="100"/>
    </x:row>
    <x:row r="380">
      <x:c r="A380" s="100"/>
    </x:row>
    <x:row r="381">
      <x:c r="A381" s="100"/>
    </x:row>
    <x:row r="382">
      <x:c r="A382" s="100"/>
    </x:row>
    <x:row r="383">
      <x:c r="A383" s="100"/>
    </x:row>
    <x:row r="384">
      <x:c r="A384" s="100"/>
    </x:row>
    <x:row r="385">
      <x:c r="A385" s="100"/>
    </x:row>
    <x:row r="386">
      <x:c r="A386" s="100"/>
    </x:row>
    <x:row r="387">
      <x:c r="A387" s="100"/>
    </x:row>
    <x:row r="388">
      <x:c r="A388" s="100"/>
    </x:row>
    <x:row r="389">
      <x:c r="A389" s="100"/>
    </x:row>
    <x:row r="390">
      <x:c r="A390" s="100"/>
    </x:row>
    <x:row r="391">
      <x:c r="A391" s="100"/>
    </x:row>
    <x:row r="392">
      <x:c r="A392" s="100"/>
    </x:row>
    <x:row r="393">
      <x:c r="A393" s="100"/>
    </x:row>
    <x:row r="394">
      <x:c r="A394" s="100"/>
    </x:row>
    <x:row r="395">
      <x:c r="A395" s="100"/>
    </x:row>
    <x:row r="396">
      <x:c r="A396" s="100"/>
    </x:row>
    <x:row r="397">
      <x:c r="A397" s="100"/>
    </x:row>
    <x:row r="398">
      <x:c r="A398" s="100"/>
    </x:row>
    <x:row r="399">
      <x:c r="A399" s="100"/>
    </x:row>
    <x:row r="400">
      <x:c r="A400" s="100"/>
    </x:row>
    <x:row r="401">
      <x:c r="A401" s="100"/>
    </x:row>
    <x:row r="402">
      <x:c r="A402" s="100"/>
    </x:row>
    <x:row r="403">
      <x:c r="A403" s="100"/>
    </x:row>
    <x:row r="404">
      <x:c r="A404" s="100"/>
    </x:row>
    <x:row r="405">
      <x:c r="A405" s="100"/>
    </x:row>
    <x:row r="406">
      <x:c r="A406" s="100"/>
    </x:row>
    <x:row r="407">
      <x:c r="A407" s="100"/>
    </x:row>
    <x:row r="408">
      <x:c r="A408" s="100"/>
    </x:row>
    <x:row r="409">
      <x:c r="A409" s="100"/>
    </x:row>
    <x:row r="410">
      <x:c r="A410" s="100"/>
    </x:row>
    <x:row r="411">
      <x:c r="A411" s="100"/>
    </x:row>
    <x:row r="412">
      <x:c r="A412" s="100"/>
    </x:row>
    <x:row r="413">
      <x:c r="A413" s="100"/>
    </x:row>
    <x:row r="414">
      <x:c r="A414" s="100"/>
    </x:row>
    <x:row r="415">
      <x:c r="A415" s="100"/>
    </x:row>
    <x:row r="416">
      <x:c r="A416" s="100"/>
    </x:row>
    <x:row r="417">
      <x:c r="A417" s="100"/>
    </x:row>
    <x:row r="418">
      <x:c r="A418" s="100"/>
    </x:row>
    <x:row r="419">
      <x:c r="A419" s="100"/>
    </x:row>
    <x:row r="420">
      <x:c r="A420" s="100"/>
    </x:row>
    <x:row r="421">
      <x:c r="A421" s="100"/>
    </x:row>
    <x:row r="422">
      <x:c r="A422" s="100"/>
    </x:row>
    <x:row r="423">
      <x:c r="A423" s="100"/>
    </x:row>
    <x:row r="424">
      <x:c r="A424" s="100"/>
    </x:row>
    <x:row r="425">
      <x:c r="A425" s="100"/>
    </x:row>
    <x:row r="426">
      <x:c r="A426" s="100"/>
    </x:row>
    <x:row r="427">
      <x:c r="A427" s="100"/>
    </x:row>
    <x:row r="428">
      <x:c r="A428" s="100"/>
    </x:row>
    <x:row r="429">
      <x:c r="A429" s="100"/>
    </x:row>
    <x:row r="430">
      <x:c r="A430" s="100"/>
    </x:row>
    <x:row r="431">
      <x:c r="A431" s="100"/>
    </x:row>
    <x:row r="432">
      <x:c r="A432" s="100"/>
    </x:row>
    <x:row r="433">
      <x:c r="A433" s="100"/>
    </x:row>
    <x:row r="434">
      <x:c r="A434" s="100"/>
    </x:row>
    <x:row r="435">
      <x:c r="A435" s="100"/>
    </x:row>
    <x:row r="436">
      <x:c r="A436" s="100"/>
    </x:row>
    <x:row r="437">
      <x:c r="A437" s="100"/>
    </x:row>
    <x:row r="438">
      <x:c r="A438" s="100"/>
    </x:row>
    <x:row r="439">
      <x:c r="A439" s="100"/>
    </x:row>
    <x:row r="440">
      <x:c r="A440" s="100"/>
    </x:row>
    <x:row r="441">
      <x:c r="A441" s="100"/>
    </x:row>
    <x:row r="442">
      <x:c r="A442" s="100"/>
    </x:row>
    <x:row r="443">
      <x:c r="A443" s="100"/>
    </x:row>
    <x:row r="444">
      <x:c r="A444" s="100"/>
    </x:row>
    <x:row r="445">
      <x:c r="A445" s="100"/>
    </x:row>
    <x:row r="446">
      <x:c r="A446" s="100"/>
    </x:row>
    <x:row r="447">
      <x:c r="A447" s="100"/>
    </x:row>
    <x:row r="448">
      <x:c r="A448" s="100"/>
    </x:row>
    <x:row r="449">
      <x:c r="A449" s="100"/>
    </x:row>
    <x:row r="450">
      <x:c r="A450" s="100"/>
    </x:row>
    <x:row r="451">
      <x:c r="A451" s="100"/>
    </x:row>
    <x:row r="452">
      <x:c r="A452" s="100"/>
    </x:row>
    <x:row r="453">
      <x:c r="A453" s="100"/>
    </x:row>
    <x:row r="454">
      <x:c r="A454" s="100"/>
    </x:row>
    <x:row r="455">
      <x:c r="A455" s="100"/>
    </x:row>
    <x:row r="456">
      <x:c r="A456" s="100"/>
    </x:row>
    <x:row r="457">
      <x:c r="A457" s="100"/>
    </x:row>
    <x:row r="458">
      <x:c r="A458" s="100"/>
    </x:row>
    <x:row r="459">
      <x:c r="A459" s="100"/>
    </x:row>
    <x:row r="460">
      <x:c r="A460" s="100"/>
    </x:row>
    <x:row r="461">
      <x:c r="A461" s="100"/>
    </x:row>
    <x:row r="462">
      <x:c r="A462" s="100"/>
    </x:row>
    <x:row r="463">
      <x:c r="A463" s="100"/>
    </x:row>
    <x:row r="464">
      <x:c r="A464" s="100"/>
    </x:row>
    <x:row r="465">
      <x:c r="A465" s="100"/>
    </x:row>
    <x:row r="466">
      <x:c r="A466" s="100"/>
    </x:row>
    <x:row r="467">
      <x:c r="A467" s="100"/>
    </x:row>
    <x:row r="468">
      <x:c r="A468" s="100"/>
    </x:row>
    <x:row r="469">
      <x:c r="A469" s="100"/>
    </x:row>
    <x:row r="470">
      <x:c r="A470" s="100"/>
    </x:row>
    <x:row r="471">
      <x:c r="A471" s="100"/>
    </x:row>
    <x:row r="472">
      <x:c r="A472" s="100"/>
    </x:row>
    <x:row r="473">
      <x:c r="A473" s="100"/>
    </x:row>
    <x:row r="474">
      <x:c r="A474" s="100"/>
    </x:row>
    <x:row r="475">
      <x:c r="A475" s="100"/>
    </x:row>
    <x:row r="476">
      <x:c r="A476" s="100"/>
    </x:row>
    <x:row r="477">
      <x:c r="A477" s="100"/>
    </x:row>
    <x:row r="478">
      <x:c r="A478" s="100"/>
    </x:row>
    <x:row r="479">
      <x:c r="A479" s="100"/>
    </x:row>
    <x:row r="480">
      <x:c r="A480" s="100"/>
    </x:row>
    <x:row r="481">
      <x:c r="A481" s="100"/>
    </x:row>
    <x:row r="482">
      <x:c r="A482" s="100"/>
    </x:row>
    <x:row r="483">
      <x:c r="A483" s="100"/>
    </x:row>
    <x:row r="484">
      <x:c r="A484" s="100"/>
    </x:row>
    <x:row r="485">
      <x:c r="A485" s="100"/>
    </x:row>
    <x:row r="486">
      <x:c r="A486" s="100"/>
    </x:row>
    <x:row r="487">
      <x:c r="A487" s="100"/>
    </x:row>
    <x:row r="488">
      <x:c r="A488" s="100"/>
    </x:row>
    <x:row r="489">
      <x:c r="A489" s="100"/>
    </x:row>
    <x:row r="490">
      <x:c r="A490" s="100"/>
    </x:row>
    <x:row r="491">
      <x:c r="A491" s="100"/>
    </x:row>
    <x:row r="492">
      <x:c r="A492" s="100"/>
    </x:row>
    <x:row r="493">
      <x:c r="A493" s="100"/>
    </x:row>
    <x:row r="494">
      <x:c r="A494" s="100"/>
    </x:row>
    <x:row r="495">
      <x:c r="A495" s="100"/>
    </x:row>
    <x:row r="496">
      <x:c r="A496" s="100"/>
    </x:row>
    <x:row r="497">
      <x:c r="A497" s="100"/>
    </x:row>
    <x:row r="498">
      <x:c r="A498" s="100"/>
    </x:row>
    <x:row r="499">
      <x:c r="A499" s="100"/>
    </x:row>
    <x:row r="500">
      <x:c r="A500" s="100"/>
    </x:row>
    <x:row r="501">
      <x:c r="A501" s="100"/>
    </x:row>
    <x:row r="502">
      <x:c r="A502" s="100"/>
    </x:row>
    <x:row r="503">
      <x:c r="A503" s="100"/>
    </x:row>
    <x:row r="504">
      <x:c r="A504" s="100"/>
    </x:row>
    <x:row r="505">
      <x:c r="A505" s="100"/>
    </x:row>
    <x:row r="506">
      <x:c r="A506" s="100"/>
    </x:row>
    <x:row r="507">
      <x:c r="A507" s="100"/>
    </x:row>
    <x:row r="508">
      <x:c r="A508" s="100"/>
    </x:row>
    <x:row r="509">
      <x:c r="A509" s="100"/>
    </x:row>
    <x:row r="510">
      <x:c r="A510" s="100"/>
    </x:row>
    <x:row r="511">
      <x:c r="A511" s="100"/>
    </x:row>
    <x:row r="512">
      <x:c r="A512" s="100"/>
    </x:row>
    <x:row r="513">
      <x:c r="A513" s="100"/>
    </x:row>
    <x:row r="514">
      <x:c r="A514" s="100"/>
    </x:row>
    <x:row r="515">
      <x:c r="A515" s="100"/>
    </x:row>
    <x:row r="516">
      <x:c r="A516" s="100"/>
    </x:row>
    <x:row r="517">
      <x:c r="A517" s="100"/>
    </x:row>
    <x:row r="518">
      <x:c r="A518" s="100"/>
    </x:row>
    <x:row r="519">
      <x:c r="A519" s="100"/>
    </x:row>
    <x:row r="520">
      <x:c r="A520" s="100"/>
    </x:row>
    <x:row r="521">
      <x:c r="A521" s="100"/>
    </x:row>
    <x:row r="522">
      <x:c r="A522" s="100"/>
    </x:row>
    <x:row r="523">
      <x:c r="A523" s="100"/>
    </x:row>
    <x:row r="524">
      <x:c r="A524" s="100"/>
    </x:row>
    <x:row r="525">
      <x:c r="A525" s="100"/>
    </x:row>
    <x:row r="526">
      <x:c r="A526" s="100"/>
    </x:row>
    <x:row r="527">
      <x:c r="A527" s="100"/>
    </x:row>
    <x:row r="528">
      <x:c r="A528" s="100"/>
    </x:row>
    <x:row r="529">
      <x:c r="A529" s="100"/>
    </x:row>
    <x:row r="530">
      <x:c r="A530" s="100"/>
    </x:row>
    <x:row r="531">
      <x:c r="A531" s="100"/>
    </x:row>
    <x:row r="532">
      <x:c r="A532" s="100"/>
    </x:row>
    <x:row r="533">
      <x:c r="A533" s="100"/>
    </x:row>
    <x:row r="534">
      <x:c r="A534" s="100"/>
    </x:row>
    <x:row r="535">
      <x:c r="A535" s="100"/>
    </x:row>
    <x:row r="536">
      <x:c r="A536" s="100"/>
    </x:row>
    <x:row r="537">
      <x:c r="A537" s="100"/>
    </x:row>
    <x:row r="538">
      <x:c r="A538" s="100"/>
    </x:row>
    <x:row r="539">
      <x:c r="A539" s="100"/>
    </x:row>
    <x:row r="540">
      <x:c r="A540" s="100"/>
    </x:row>
    <x:row r="541">
      <x:c r="A541" s="100"/>
    </x:row>
    <x:row r="542">
      <x:c r="A542" s="100"/>
    </x:row>
    <x:row r="543">
      <x:c r="A543" s="100"/>
    </x:row>
    <x:row r="544">
      <x:c r="A544" s="100"/>
    </x:row>
    <x:row r="545">
      <x:c r="A545" s="100"/>
    </x:row>
    <x:row r="546">
      <x:c r="A546" s="100"/>
    </x:row>
    <x:row r="547">
      <x:c r="A547" s="100"/>
    </x:row>
    <x:row r="548">
      <x:c r="A548" s="100"/>
    </x:row>
    <x:row r="549">
      <x:c r="A549" s="100"/>
    </x:row>
    <x:row r="550">
      <x:c r="A550" s="100"/>
    </x:row>
    <x:row r="551">
      <x:c r="A551" s="100"/>
    </x:row>
    <x:row r="552">
      <x:c r="A552" s="100"/>
    </x:row>
    <x:row r="553">
      <x:c r="A553" s="100"/>
    </x:row>
    <x:row r="554">
      <x:c r="A554" s="100"/>
    </x:row>
    <x:row r="555">
      <x:c r="A555" s="100"/>
    </x:row>
    <x:row r="556">
      <x:c r="A556" s="100"/>
    </x:row>
    <x:row r="557">
      <x:c r="A557" s="100"/>
    </x:row>
    <x:row r="558">
      <x:c r="A558" s="100"/>
    </x:row>
    <x:row r="559">
      <x:c r="A559" s="100"/>
    </x:row>
    <x:row r="560">
      <x:c r="A560" s="100"/>
    </x:row>
    <x:row r="561">
      <x:c r="A561" s="100"/>
    </x:row>
    <x:row r="562">
      <x:c r="A562" s="100"/>
    </x:row>
    <x:row r="563">
      <x:c r="A563" s="100"/>
    </x:row>
    <x:row r="564">
      <x:c r="A564" s="100"/>
    </x:row>
    <x:row r="565">
      <x:c r="A565" s="100"/>
    </x:row>
    <x:row r="566">
      <x:c r="A566" s="100"/>
    </x:row>
    <x:row r="567">
      <x:c r="A567" s="100"/>
    </x:row>
    <x:row r="568">
      <x:c r="A568" s="100"/>
    </x:row>
    <x:row r="569">
      <x:c r="A569" s="100"/>
    </x:row>
    <x:row r="570">
      <x:c r="A570" s="100"/>
    </x:row>
    <x:row r="571">
      <x:c r="A571" s="100"/>
    </x:row>
    <x:row r="572">
      <x:c r="A572" s="100"/>
    </x:row>
    <x:row r="573">
      <x:c r="A573" s="100"/>
    </x:row>
    <x:row r="574">
      <x:c r="A574" s="100"/>
    </x:row>
    <x:row r="575">
      <x:c r="A575" s="100"/>
    </x:row>
    <x:row r="576">
      <x:c r="A576" s="100"/>
    </x:row>
    <x:row r="577">
      <x:c r="A577" s="100"/>
    </x:row>
    <x:row r="578">
      <x:c r="A578" s="100"/>
    </x:row>
    <x:row r="579">
      <x:c r="A579" s="100"/>
    </x:row>
    <x:row r="580">
      <x:c r="A580" s="100"/>
    </x:row>
    <x:row r="581">
      <x:c r="A581" s="100"/>
    </x:row>
    <x:row r="582">
      <x:c r="A582" s="100"/>
    </x:row>
    <x:row r="583">
      <x:c r="A583" s="100"/>
    </x:row>
    <x:row r="584">
      <x:c r="A584" s="100"/>
    </x:row>
    <x:row r="585">
      <x:c r="A585" s="100"/>
    </x:row>
    <x:row r="586">
      <x:c r="A586" s="100"/>
    </x:row>
    <x:row r="587">
      <x:c r="A587" s="100"/>
    </x:row>
    <x:row r="588">
      <x:c r="A588" s="100"/>
    </x:row>
    <x:row r="589">
      <x:c r="A589" s="100"/>
    </x:row>
    <x:row r="590">
      <x:c r="A590" s="100"/>
    </x:row>
    <x:row r="591">
      <x:c r="A591" s="100"/>
    </x:row>
    <x:row r="592">
      <x:c r="A592" s="100"/>
    </x:row>
    <x:row r="593">
      <x:c r="A593" s="100"/>
    </x:row>
    <x:row r="594">
      <x:c r="A594" s="100"/>
    </x:row>
    <x:row r="595">
      <x:c r="A595" s="100"/>
    </x:row>
    <x:row r="596">
      <x:c r="A596" s="100"/>
    </x:row>
    <x:row r="597">
      <x:c r="A597" s="100"/>
    </x:row>
    <x:row r="598">
      <x:c r="A598" s="100"/>
    </x:row>
    <x:row r="599">
      <x:c r="A599" s="100"/>
    </x:row>
    <x:row r="600">
      <x:c r="A600" s="100"/>
    </x:row>
    <x:row r="601">
      <x:c r="A601" s="100"/>
    </x:row>
    <x:row r="602">
      <x:c r="A602" s="100"/>
    </x:row>
    <x:row r="603">
      <x:c r="A603" s="100"/>
    </x:row>
    <x:row r="604">
      <x:c r="A604" s="100"/>
    </x:row>
    <x:row r="605">
      <x:c r="A605" s="100"/>
    </x:row>
    <x:row r="606">
      <x:c r="A606" s="100"/>
    </x:row>
    <x:row r="607">
      <x:c r="A607" s="100"/>
    </x:row>
    <x:row r="608">
      <x:c r="A608" s="100"/>
    </x:row>
    <x:row r="609">
      <x:c r="A609" s="100"/>
    </x:row>
    <x:row r="610">
      <x:c r="A610" s="100"/>
    </x:row>
    <x:row r="611">
      <x:c r="A611" s="100"/>
    </x:row>
    <x:row r="612">
      <x:c r="A612" s="100"/>
    </x:row>
    <x:row r="613">
      <x:c r="A613" s="100"/>
    </x:row>
    <x:row r="614">
      <x:c r="A614" s="100"/>
    </x:row>
    <x:row r="615">
      <x:c r="A615" s="100"/>
    </x:row>
    <x:row r="616">
      <x:c r="A616" s="100"/>
    </x:row>
    <x:row r="617">
      <x:c r="A617" s="100"/>
    </x:row>
    <x:row r="618">
      <x:c r="A618" s="100"/>
    </x:row>
    <x:row r="619">
      <x:c r="A619" s="100"/>
    </x:row>
    <x:row r="620">
      <x:c r="A620" s="100"/>
    </x:row>
    <x:row r="621">
      <x:c r="A621" s="100"/>
    </x:row>
    <x:row r="622">
      <x:c r="A622" s="100"/>
    </x:row>
    <x:row r="623">
      <x:c r="A623" s="100"/>
    </x:row>
    <x:row r="624">
      <x:c r="A624" s="100"/>
    </x:row>
    <x:row r="625">
      <x:c r="A625" s="100"/>
    </x:row>
    <x:row r="626">
      <x:c r="A626" s="100"/>
    </x:row>
    <x:row r="627">
      <x:c r="A627" s="100"/>
    </x:row>
    <x:row r="628">
      <x:c r="A628" s="100"/>
    </x:row>
    <x:row r="629">
      <x:c r="A629" s="100"/>
    </x:row>
    <x:row r="630">
      <x:c r="A630" s="100"/>
    </x:row>
    <x:row r="631">
      <x:c r="A631" s="100"/>
    </x:row>
    <x:row r="632">
      <x:c r="A632" s="100"/>
    </x:row>
    <x:row r="633">
      <x:c r="A633" s="100"/>
    </x:row>
    <x:row r="634">
      <x:c r="A634" s="100"/>
    </x:row>
    <x:row r="635">
      <x:c r="A635" s="100"/>
    </x:row>
    <x:row r="636">
      <x:c r="A636" s="100"/>
    </x:row>
    <x:row r="637">
      <x:c r="A637" s="100"/>
    </x:row>
    <x:row r="638">
      <x:c r="A638" s="100"/>
    </x:row>
    <x:row r="639">
      <x:c r="A639" s="100"/>
    </x:row>
    <x:row r="640">
      <x:c r="A640" s="100"/>
    </x:row>
    <x:row r="641">
      <x:c r="A641" s="100"/>
    </x:row>
    <x:row r="642">
      <x:c r="A642" s="100"/>
    </x:row>
    <x:row r="643">
      <x:c r="A643" s="100"/>
    </x:row>
    <x:row r="644">
      <x:c r="A644" s="100"/>
    </x:row>
    <x:row r="645">
      <x:c r="A645" s="100"/>
    </x:row>
    <x:row r="646">
      <x:c r="A646" s="100"/>
    </x:row>
    <x:row r="647">
      <x:c r="A647" s="100"/>
    </x:row>
    <x:row r="648">
      <x:c r="A648" s="100"/>
    </x:row>
    <x:row r="649">
      <x:c r="A649" s="100"/>
    </x:row>
    <x:row r="650">
      <x:c r="A650" s="100"/>
    </x:row>
    <x:row r="651">
      <x:c r="A651" s="100"/>
    </x:row>
    <x:row r="652">
      <x:c r="A652" s="100"/>
    </x:row>
    <x:row r="653">
      <x:c r="A653" s="100"/>
    </x:row>
    <x:row r="654">
      <x:c r="A654" s="100"/>
    </x:row>
    <x:row r="655">
      <x:c r="A655" s="100"/>
    </x:row>
    <x:row r="656">
      <x:c r="A656" s="100"/>
    </x:row>
    <x:row r="657">
      <x:c r="A657" s="100"/>
    </x:row>
    <x:row r="658">
      <x:c r="A658" s="100"/>
    </x:row>
    <x:row r="659">
      <x:c r="A659" s="100"/>
    </x:row>
    <x:row r="660">
      <x:c r="A660" s="100"/>
    </x:row>
    <x:row r="661">
      <x:c r="A661" s="100"/>
    </x:row>
    <x:row r="662">
      <x:c r="A662" s="100"/>
    </x:row>
    <x:row r="663">
      <x:c r="A663" s="100"/>
    </x:row>
    <x:row r="664">
      <x:c r="A664" s="100"/>
    </x:row>
    <x:row r="665">
      <x:c r="A665" s="100"/>
    </x:row>
    <x:row r="666">
      <x:c r="A666" s="100"/>
    </x:row>
    <x:row r="667">
      <x:c r="A667" s="100"/>
    </x:row>
    <x:row r="668">
      <x:c r="A668" s="100"/>
    </x:row>
    <x:row r="669">
      <x:c r="A669" s="100"/>
    </x:row>
    <x:row r="670">
      <x:c r="A670" s="100"/>
    </x:row>
    <x:row r="671">
      <x:c r="A671" s="100"/>
    </x:row>
    <x:row r="672">
      <x:c r="A672" s="100"/>
    </x:row>
    <x:row r="673">
      <x:c r="A673" s="100"/>
    </x:row>
    <x:row r="674">
      <x:c r="A674" s="100"/>
    </x:row>
    <x:row r="675">
      <x:c r="A675" s="100"/>
    </x:row>
    <x:row r="676">
      <x:c r="A676" s="100"/>
    </x:row>
    <x:row r="677">
      <x:c r="A677" s="100"/>
    </x:row>
    <x:row r="678">
      <x:c r="A678" s="100"/>
    </x:row>
    <x:row r="679">
      <x:c r="A679" s="100"/>
    </x:row>
    <x:row r="680">
      <x:c r="A680" s="100"/>
    </x:row>
    <x:row r="681">
      <x:c r="A681" s="100"/>
    </x:row>
    <x:row r="682">
      <x:c r="A682" s="100"/>
    </x:row>
    <x:row r="683">
      <x:c r="A683" s="100"/>
    </x:row>
    <x:row r="684">
      <x:c r="A684" s="100"/>
    </x:row>
    <x:row r="685">
      <x:c r="A685" s="100"/>
    </x:row>
    <x:row r="686">
      <x:c r="A686" s="100"/>
    </x:row>
    <x:row r="687">
      <x:c r="A687" s="100"/>
    </x:row>
    <x:row r="688">
      <x:c r="A688" s="100"/>
    </x:row>
    <x:row r="689">
      <x:c r="A689" s="100"/>
    </x:row>
    <x:row r="690">
      <x:c r="A690" s="100"/>
    </x:row>
    <x:row r="691">
      <x:c r="A691" s="100"/>
    </x:row>
    <x:row r="692">
      <x:c r="A692" s="100"/>
    </x:row>
    <x:row r="693">
      <x:c r="A693" s="100"/>
    </x:row>
    <x:row r="694">
      <x:c r="A694" s="100"/>
    </x:row>
    <x:row r="695">
      <x:c r="A695" s="100"/>
    </x:row>
    <x:row r="696">
      <x:c r="A696" s="100"/>
    </x:row>
    <x:row r="697">
      <x:c r="A697" s="100"/>
    </x:row>
    <x:row r="698">
      <x:c r="A698" s="100"/>
    </x:row>
    <x:row r="699">
      <x:c r="A699" s="100"/>
    </x:row>
    <x:row r="700">
      <x:c r="A700" s="100"/>
    </x:row>
    <x:row r="701">
      <x:c r="A701" s="100"/>
    </x:row>
    <x:row r="702">
      <x:c r="A702" s="100"/>
    </x:row>
    <x:row r="703">
      <x:c r="A703" s="100"/>
    </x:row>
    <x:row r="704">
      <x:c r="A704" s="100"/>
    </x:row>
    <x:row r="705">
      <x:c r="A705" s="100"/>
    </x:row>
    <x:row r="706">
      <x:c r="A706" s="100"/>
    </x:row>
    <x:row r="707">
      <x:c r="A707" s="100"/>
    </x:row>
    <x:row r="708">
      <x:c r="A708" s="100"/>
    </x:row>
    <x:row r="709">
      <x:c r="A709" s="100"/>
    </x:row>
    <x:row r="710">
      <x:c r="A710" s="100"/>
    </x:row>
    <x:row r="711">
      <x:c r="A711" s="100"/>
    </x:row>
    <x:row r="712">
      <x:c r="A712" s="100"/>
    </x:row>
    <x:row r="713">
      <x:c r="A713" s="100"/>
    </x:row>
    <x:row r="714">
      <x:c r="A714" s="100"/>
    </x:row>
    <x:row r="715">
      <x:c r="A715" s="100"/>
    </x:row>
    <x:row r="716">
      <x:c r="A716" s="100"/>
    </x:row>
    <x:row r="717">
      <x:c r="A717" s="100"/>
    </x:row>
    <x:row r="718">
      <x:c r="A718" s="100"/>
    </x:row>
    <x:row r="719">
      <x:c r="A719" s="100"/>
    </x:row>
    <x:row r="720">
      <x:c r="A720" s="100"/>
    </x:row>
    <x:row r="721">
      <x:c r="A721" s="100"/>
    </x:row>
    <x:row r="722">
      <x:c r="A722" s="100"/>
    </x:row>
    <x:row r="723">
      <x:c r="A723" s="100"/>
    </x:row>
    <x:row r="724">
      <x:c r="A724" s="100"/>
    </x:row>
    <x:row r="725">
      <x:c r="A725" s="100"/>
    </x:row>
    <x:row r="726">
      <x:c r="A726" s="100"/>
    </x:row>
    <x:row r="727">
      <x:c r="A727" s="100"/>
    </x:row>
    <x:row r="728">
      <x:c r="A728" s="100"/>
    </x:row>
    <x:row r="729">
      <x:c r="A729" s="100"/>
    </x:row>
    <x:row r="730">
      <x:c r="A730" s="100"/>
    </x:row>
    <x:row r="731">
      <x:c r="A731" s="100"/>
    </x:row>
    <x:row r="732">
      <x:c r="A732" s="100"/>
    </x:row>
    <x:row r="733">
      <x:c r="A733" s="100"/>
    </x:row>
    <x:row r="734">
      <x:c r="A734" s="100"/>
    </x:row>
    <x:row r="735">
      <x:c r="A735" s="100"/>
    </x:row>
    <x:row r="736">
      <x:c r="A736" s="100"/>
    </x:row>
    <x:row r="737">
      <x:c r="A737" s="100"/>
    </x:row>
    <x:row r="738">
      <x:c r="A738" s="100"/>
    </x:row>
    <x:row r="739">
      <x:c r="A739" s="100"/>
    </x:row>
    <x:row r="740">
      <x:c r="A740" s="100"/>
    </x:row>
    <x:row r="741">
      <x:c r="A741" s="100"/>
    </x:row>
    <x:row r="742">
      <x:c r="A742" s="100"/>
    </x:row>
    <x:row r="743">
      <x:c r="A743" s="100"/>
    </x:row>
    <x:row r="744">
      <x:c r="A744" s="100"/>
    </x:row>
    <x:row r="745">
      <x:c r="A745" s="100"/>
    </x:row>
    <x:row r="746">
      <x:c r="A746" s="100"/>
    </x:row>
    <x:row r="747">
      <x:c r="A747" s="100"/>
    </x:row>
    <x:row r="748">
      <x:c r="A748" s="100"/>
    </x:row>
    <x:row r="749">
      <x:c r="A749" s="100"/>
    </x:row>
    <x:row r="750">
      <x:c r="A750" s="100"/>
    </x:row>
    <x:row r="751">
      <x:c r="A751" s="100"/>
    </x:row>
    <x:row r="752">
      <x:c r="A752" s="100"/>
    </x:row>
    <x:row r="753">
      <x:c r="A753" s="100"/>
    </x:row>
    <x:row r="754">
      <x:c r="A754" s="100"/>
    </x:row>
    <x:row r="755">
      <x:c r="A755" s="100"/>
    </x:row>
    <x:row r="756">
      <x:c r="A756" s="100"/>
    </x:row>
    <x:row r="757">
      <x:c r="A757" s="100"/>
    </x:row>
    <x:row r="758">
      <x:c r="A758" s="100"/>
    </x:row>
    <x:row r="759">
      <x:c r="A759" s="100"/>
    </x:row>
    <x:row r="760">
      <x:c r="A760" s="100"/>
    </x:row>
    <x:row r="761">
      <x:c r="A761" s="100"/>
    </x:row>
    <x:row r="762">
      <x:c r="A762" s="100"/>
    </x:row>
    <x:row r="763">
      <x:c r="A763" s="100"/>
    </x:row>
    <x:row r="764">
      <x:c r="A764" s="100"/>
    </x:row>
    <x:row r="765">
      <x:c r="A765" s="100"/>
    </x:row>
    <x:row r="766">
      <x:c r="A766" s="100"/>
    </x:row>
    <x:row r="767">
      <x:c r="A767" s="100"/>
    </x:row>
    <x:row r="768">
      <x:c r="A768" s="100"/>
    </x:row>
    <x:row r="769">
      <x:c r="A769" s="100"/>
    </x:row>
    <x:row r="770">
      <x:c r="A770" s="100"/>
    </x:row>
    <x:row r="771">
      <x:c r="A771" s="100"/>
    </x:row>
    <x:row r="772">
      <x:c r="A772" s="100"/>
    </x:row>
    <x:row r="773">
      <x:c r="A773" s="100"/>
    </x:row>
    <x:row r="774">
      <x:c r="A774" s="100"/>
    </x:row>
    <x:row r="775">
      <x:c r="A775" s="100"/>
    </x:row>
    <x:row r="776">
      <x:c r="A776" s="100"/>
    </x:row>
    <x:row r="777">
      <x:c r="A777" s="100"/>
    </x:row>
    <x:row r="778">
      <x:c r="A778" s="100"/>
    </x:row>
    <x:row r="779">
      <x:c r="A779" s="100"/>
    </x:row>
    <x:row r="780">
      <x:c r="A780" s="100"/>
    </x:row>
    <x:row r="781">
      <x:c r="A781" s="100"/>
    </x:row>
    <x:row r="782">
      <x:c r="A782" s="100"/>
    </x:row>
    <x:row r="783">
      <x:c r="A783" s="100"/>
    </x:row>
    <x:row r="784">
      <x:c r="A784" s="100"/>
    </x:row>
    <x:row r="785">
      <x:c r="A785" s="100"/>
    </x:row>
    <x:row r="786">
      <x:c r="A786" s="100"/>
    </x:row>
    <x:row r="787">
      <x:c r="A787" s="100"/>
    </x:row>
    <x:row r="788">
      <x:c r="A788" s="100"/>
    </x:row>
    <x:row r="789">
      <x:c r="A789" s="100"/>
    </x:row>
    <x:row r="790">
      <x:c r="A790" s="100"/>
    </x:row>
    <x:row r="791">
      <x:c r="A791" s="100"/>
    </x:row>
    <x:row r="792">
      <x:c r="A792" s="100"/>
    </x:row>
    <x:row r="793">
      <x:c r="A793" s="100"/>
    </x:row>
    <x:row r="794">
      <x:c r="A794" s="100"/>
    </x:row>
    <x:row r="795">
      <x:c r="A795" s="100"/>
    </x:row>
    <x:row r="796">
      <x:c r="A796" s="100"/>
    </x:row>
    <x:row r="797">
      <x:c r="A797" s="100"/>
    </x:row>
    <x:row r="798">
      <x:c r="A798" s="100"/>
    </x:row>
    <x:row r="799">
      <x:c r="A799" s="100"/>
    </x:row>
    <x:row r="800">
      <x:c r="A800" s="100"/>
    </x:row>
    <x:row r="801">
      <x:c r="A801" s="100"/>
    </x:row>
    <x:row r="802">
      <x:c r="A802" s="100"/>
    </x:row>
    <x:row r="803">
      <x:c r="A803" s="100"/>
    </x:row>
    <x:row r="804">
      <x:c r="A804" s="100"/>
    </x:row>
    <x:row r="805">
      <x:c r="A805" s="100"/>
    </x:row>
    <x:row r="806">
      <x:c r="A806" s="100"/>
    </x:row>
    <x:row r="807">
      <x:c r="A807" s="100"/>
    </x:row>
    <x:row r="808">
      <x:c r="A808" s="100"/>
    </x:row>
    <x:row r="809">
      <x:c r="A809" s="100"/>
    </x:row>
    <x:row r="810">
      <x:c r="A810" s="100"/>
    </x:row>
    <x:row r="811">
      <x:c r="A811" s="100"/>
    </x:row>
    <x:row r="812">
      <x:c r="A812" s="100"/>
    </x:row>
    <x:row r="813">
      <x:c r="A813" s="100"/>
    </x:row>
    <x:row r="814">
      <x:c r="A814" s="100"/>
    </x:row>
    <x:row r="815">
      <x:c r="A815" s="100"/>
    </x:row>
    <x:row r="816">
      <x:c r="A816" s="100"/>
    </x:row>
    <x:row r="817">
      <x:c r="A817" s="100"/>
    </x:row>
    <x:row r="818">
      <x:c r="A818" s="100"/>
    </x:row>
    <x:row r="819">
      <x:c r="A819" s="100"/>
    </x:row>
    <x:row r="820">
      <x:c r="A820" s="100"/>
    </x:row>
    <x:row r="821">
      <x:c r="A821" s="100"/>
    </x:row>
    <x:row r="822">
      <x:c r="A822" s="100"/>
    </x:row>
    <x:row r="823">
      <x:c r="A823" s="100"/>
    </x:row>
    <x:row r="824">
      <x:c r="A824" s="100"/>
    </x:row>
    <x:row r="825">
      <x:c r="A825" s="100"/>
    </x:row>
    <x:row r="826">
      <x:c r="A826" s="100"/>
    </x:row>
    <x:row r="827">
      <x:c r="A827" s="100"/>
    </x:row>
    <x:row r="828">
      <x:c r="A828" s="100"/>
    </x:row>
    <x:row r="829">
      <x:c r="A829" s="100"/>
    </x:row>
    <x:row r="830">
      <x:c r="A830" s="100"/>
    </x:row>
    <x:row r="831">
      <x:c r="A831" s="100"/>
    </x:row>
    <x:row r="832">
      <x:c r="A832" s="100"/>
    </x:row>
    <x:row r="833">
      <x:c r="A833" s="100"/>
    </x:row>
    <x:row r="834">
      <x:c r="A834" s="100"/>
    </x:row>
    <x:row r="835">
      <x:c r="A835" s="100"/>
    </x:row>
    <x:row r="836">
      <x:c r="A836" s="100"/>
    </x:row>
    <x:row r="837">
      <x:c r="A837" s="100"/>
    </x:row>
    <x:row r="838">
      <x:c r="A838" s="100"/>
    </x:row>
    <x:row r="839">
      <x:c r="A839" s="100"/>
    </x:row>
    <x:row r="840">
      <x:c r="A840" s="100"/>
    </x:row>
    <x:row r="841">
      <x:c r="A841" s="100"/>
    </x:row>
    <x:row r="842">
      <x:c r="A842" s="100"/>
    </x:row>
    <x:row r="843">
      <x:c r="A843" s="100"/>
    </x:row>
    <x:row r="844">
      <x:c r="A844" s="100"/>
    </x:row>
    <x:row r="845">
      <x:c r="A845" s="100"/>
    </x:row>
    <x:row r="846">
      <x:c r="A846" s="100"/>
    </x:row>
    <x:row r="847">
      <x:c r="A847" s="100"/>
    </x:row>
    <x:row r="848">
      <x:c r="A848" s="100"/>
    </x:row>
    <x:row r="849">
      <x:c r="A849" s="100"/>
    </x:row>
    <x:row r="850">
      <x:c r="A850" s="100"/>
    </x:row>
    <x:row r="851">
      <x:c r="A851" s="100"/>
    </x:row>
    <x:row r="852">
      <x:c r="A852" s="100"/>
    </x:row>
    <x:row r="853">
      <x:c r="A853" s="100"/>
    </x:row>
    <x:row r="854">
      <x:c r="A854" s="100"/>
    </x:row>
    <x:row r="855">
      <x:c r="A855" s="100"/>
    </x:row>
    <x:row r="856">
      <x:c r="A856" s="100"/>
    </x:row>
    <x:row r="857">
      <x:c r="A857" s="100"/>
    </x:row>
    <x:row r="858">
      <x:c r="A858" s="100"/>
    </x:row>
    <x:row r="859">
      <x:c r="A859" s="100"/>
    </x:row>
    <x:row r="860">
      <x:c r="A860" s="100"/>
    </x:row>
    <x:row r="861">
      <x:c r="A861" s="100"/>
    </x:row>
    <x:row r="862">
      <x:c r="A862" s="100"/>
    </x:row>
    <x:row r="863">
      <x:c r="A863" s="100"/>
    </x:row>
    <x:row r="864">
      <x:c r="A864" s="100"/>
    </x:row>
    <x:row r="865">
      <x:c r="A865" s="100"/>
    </x:row>
    <x:row r="866">
      <x:c r="A866" s="100"/>
    </x:row>
    <x:row r="867">
      <x:c r="A867" s="100"/>
    </x:row>
    <x:row r="868">
      <x:c r="A868" s="100"/>
    </x:row>
    <x:row r="869">
      <x:c r="A869" s="100"/>
    </x:row>
    <x:row r="870">
      <x:c r="A870" s="100"/>
    </x:row>
    <x:row r="871">
      <x:c r="A871" s="100"/>
    </x:row>
    <x:row r="872">
      <x:c r="A872" s="100"/>
    </x:row>
    <x:row r="873">
      <x:c r="A873" s="100"/>
    </x:row>
    <x:row r="874">
      <x:c r="A874" s="100"/>
    </x:row>
    <x:row r="875">
      <x:c r="A875" s="100"/>
    </x:row>
    <x:row r="876">
      <x:c r="A876" s="100"/>
    </x:row>
    <x:row r="877">
      <x:c r="A877" s="100"/>
    </x:row>
    <x:row r="878">
      <x:c r="A878" s="100"/>
    </x:row>
    <x:row r="879">
      <x:c r="A879" s="100"/>
    </x:row>
    <x:row r="880">
      <x:c r="A880" s="100"/>
    </x:row>
    <x:row r="881">
      <x:c r="A881" s="100"/>
    </x:row>
    <x:row r="882">
      <x:c r="A882" s="100"/>
    </x:row>
    <x:row r="883">
      <x:c r="A883" s="100"/>
    </x:row>
    <x:row r="884">
      <x:c r="A884" s="100"/>
    </x:row>
    <x:row r="885">
      <x:c r="A885" s="100"/>
    </x:row>
    <x:row r="886">
      <x:c r="A886" s="100"/>
    </x:row>
    <x:row r="887">
      <x:c r="A887" s="100"/>
    </x:row>
    <x:row r="888">
      <x:c r="A888" s="100"/>
    </x:row>
    <x:row r="889">
      <x:c r="A889" s="100"/>
    </x:row>
    <x:row r="890">
      <x:c r="A890" s="100"/>
    </x:row>
    <x:row r="891">
      <x:c r="A891" s="100"/>
    </x:row>
    <x:row r="892">
      <x:c r="A892" s="100"/>
    </x:row>
    <x:row r="893">
      <x:c r="A893" s="100"/>
    </x:row>
    <x:row r="894">
      <x:c r="A894" s="100"/>
    </x:row>
    <x:row r="895">
      <x:c r="A895" s="100"/>
    </x:row>
    <x:row r="896">
      <x:c r="A896" s="100"/>
    </x:row>
    <x:row r="897">
      <x:c r="A897" s="100"/>
    </x:row>
    <x:row r="898">
      <x:c r="A898" s="100"/>
    </x:row>
    <x:row r="899">
      <x:c r="A899" s="100"/>
    </x:row>
    <x:row r="900">
      <x:c r="A900" s="100"/>
    </x:row>
    <x:row r="901">
      <x:c r="A901" s="100"/>
    </x:row>
    <x:row r="902">
      <x:c r="A902" s="100"/>
    </x:row>
    <x:row r="903">
      <x:c r="A903" s="100"/>
    </x:row>
    <x:row r="904">
      <x:c r="A904" s="100"/>
    </x:row>
    <x:row r="905">
      <x:c r="A905" s="100"/>
    </x:row>
    <x:row r="906">
      <x:c r="A906" s="100"/>
    </x:row>
    <x:row r="907">
      <x:c r="A907" s="100"/>
    </x:row>
    <x:row r="908">
      <x:c r="A908" s="100"/>
    </x:row>
    <x:row r="909">
      <x:c r="A909" s="100"/>
    </x:row>
    <x:row r="910">
      <x:c r="A910" s="100"/>
    </x:row>
    <x:row r="911">
      <x:c r="A911" s="100"/>
    </x:row>
    <x:row r="912">
      <x:c r="A912" s="100"/>
    </x:row>
    <x:row r="913">
      <x:c r="A913" s="100"/>
    </x:row>
    <x:row r="914">
      <x:c r="A914" s="100"/>
    </x:row>
    <x:row r="915">
      <x:c r="A915" s="100"/>
    </x:row>
    <x:row r="916">
      <x:c r="A916" s="100"/>
    </x:row>
    <x:row r="917">
      <x:c r="A917" s="100"/>
    </x:row>
    <x:row r="918">
      <x:c r="A918" s="100"/>
    </x:row>
    <x:row r="919">
      <x:c r="A919" s="100"/>
    </x:row>
    <x:row r="920">
      <x:c r="A920" s="100"/>
    </x:row>
    <x:row r="921">
      <x:c r="A921" s="100"/>
    </x:row>
    <x:row r="922">
      <x:c r="A922" s="100"/>
    </x:row>
    <x:row r="923">
      <x:c r="A923" s="100"/>
    </x:row>
    <x:row r="924">
      <x:c r="A924" s="100"/>
    </x:row>
    <x:row r="925">
      <x:c r="A925" s="100"/>
    </x:row>
    <x:row r="926">
      <x:c r="A926" s="100"/>
    </x:row>
    <x:row r="927">
      <x:c r="A927" s="100"/>
    </x:row>
    <x:row r="928">
      <x:c r="A928" s="100"/>
    </x:row>
    <x:row r="929">
      <x:c r="A929" s="100"/>
    </x:row>
    <x:row r="930">
      <x:c r="A930" s="100"/>
    </x:row>
    <x:row r="931">
      <x:c r="A931" s="100"/>
    </x:row>
    <x:row r="932">
      <x:c r="A932" s="100"/>
    </x:row>
    <x:row r="933">
      <x:c r="A933" s="100"/>
    </x:row>
    <x:row r="934">
      <x:c r="A934" s="100"/>
    </x:row>
    <x:row r="935">
      <x:c r="A935" s="100"/>
    </x:row>
    <x:row r="936">
      <x:c r="A936" s="100"/>
    </x:row>
    <x:row r="937">
      <x:c r="A937" s="100"/>
    </x:row>
    <x:row r="938">
      <x:c r="A938" s="100"/>
    </x:row>
    <x:row r="939">
      <x:c r="A939" s="100"/>
    </x:row>
    <x:row r="940">
      <x:c r="A940" s="100"/>
    </x:row>
    <x:row r="941">
      <x:c r="A941" s="100"/>
    </x:row>
    <x:row r="942">
      <x:c r="A942" s="100"/>
    </x:row>
    <x:row r="943">
      <x:c r="A943" s="100"/>
    </x:row>
    <x:row r="944">
      <x:c r="A944" s="100"/>
    </x:row>
    <x:row r="945">
      <x:c r="A945" s="100"/>
    </x:row>
    <x:row r="946">
      <x:c r="A946" s="100"/>
    </x:row>
    <x:row r="947">
      <x:c r="A947" s="100"/>
    </x:row>
    <x:row r="948">
      <x:c r="A948" s="100"/>
    </x:row>
    <x:row r="949">
      <x:c r="A949" s="100"/>
    </x:row>
    <x:row r="950">
      <x:c r="A950" s="100"/>
    </x:row>
    <x:row r="951">
      <x:c r="A951" s="100"/>
    </x:row>
    <x:row r="952">
      <x:c r="A952" s="100"/>
    </x:row>
    <x:row r="953">
      <x:c r="A953" s="100"/>
    </x:row>
    <x:row r="954">
      <x:c r="A954" s="100"/>
    </x:row>
    <x:row r="955">
      <x:c r="A955" s="100"/>
    </x:row>
    <x:row r="956">
      <x:c r="A956" s="100"/>
    </x:row>
    <x:row r="957">
      <x:c r="A957" s="100"/>
    </x:row>
    <x:row r="958">
      <x:c r="A958" s="100"/>
    </x:row>
    <x:row r="959">
      <x:c r="A959" s="100"/>
    </x:row>
    <x:row r="960">
      <x:c r="A960" s="100"/>
    </x:row>
    <x:row r="961">
      <x:c r="A961" s="100"/>
    </x:row>
    <x:row r="962">
      <x:c r="A962" s="100"/>
    </x:row>
    <x:row r="963">
      <x:c r="A963" s="100"/>
    </x:row>
    <x:row r="964">
      <x:c r="A964" s="100"/>
    </x:row>
    <x:row r="965">
      <x:c r="A965" s="100"/>
    </x:row>
    <x:row r="966">
      <x:c r="A966" s="100"/>
    </x:row>
    <x:row r="967">
      <x:c r="A967" s="100"/>
    </x:row>
    <x:row r="968">
      <x:c r="A968" s="100"/>
    </x:row>
    <x:row r="969">
      <x:c r="A969" s="100"/>
    </x:row>
    <x:row r="970">
      <x:c r="A970" s="100"/>
    </x:row>
    <x:row r="971">
      <x:c r="A971" s="100"/>
    </x:row>
    <x:row r="972">
      <x:c r="A972" s="100"/>
    </x:row>
    <x:row r="973">
      <x:c r="A973" s="100"/>
    </x:row>
    <x:row r="974">
      <x:c r="A974" s="100"/>
    </x:row>
    <x:row r="975">
      <x:c r="A975" s="100"/>
    </x:row>
    <x:row r="976">
      <x:c r="A976" s="100"/>
    </x:row>
    <x:row r="977">
      <x:c r="A977" s="100"/>
    </x:row>
    <x:row r="978">
      <x:c r="A978" s="100"/>
    </x:row>
    <x:row r="979">
      <x:c r="A979" s="100"/>
    </x:row>
    <x:row r="980">
      <x:c r="A980" s="100"/>
    </x:row>
    <x:row r="981">
      <x:c r="A981" s="100"/>
    </x:row>
    <x:row r="982">
      <x:c r="A982" s="100"/>
    </x:row>
    <x:row r="983">
      <x:c r="A983" s="100"/>
    </x:row>
    <x:row r="984">
      <x:c r="A984" s="100"/>
    </x:row>
    <x:row r="985">
      <x:c r="A985" s="100"/>
    </x:row>
    <x:row r="986">
      <x:c r="A986" s="100"/>
    </x:row>
    <x:row r="987">
      <x:c r="A987" s="100"/>
    </x:row>
    <x:row r="988">
      <x:c r="A988" s="100"/>
    </x:row>
    <x:row r="989">
      <x:c r="A989" s="100"/>
    </x:row>
    <x:row r="990">
      <x:c r="A990" s="10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ColWidth="12.630000114440918" defaultRowHeight="15"/>
  <x:cols>
    <x:col min="1" max="1" width="14.5" customWidth="1"/>
    <x:col min="2" max="2" width="18.1299991607666" customWidth="1"/>
    <x:col min="3" max="3" width="26.1299991607666" customWidth="1"/>
    <x:col min="4" max="4" width="53.25" customWidth="1"/>
    <x:col min="5" max="5" width="10.880000114440918" customWidth="1"/>
    <x:col min="6" max="6" width="12.130000114440918" customWidth="1"/>
    <x:col min="7" max="7" width="20.6299991607666" customWidth="1"/>
    <x:col min="8" max="8" width="33.5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4" t="s">
        <x:v>391</x:v>
      </x:c>
      <x:c r="F2" s="6" t="str">
        <x:v>실동작 확인(건)</x:v>
      </x:c>
      <x:c r="G2" s="1"/>
      <x:c r="H2" s="146" t="n">
        <x:f>COUNTIFS('통합현황과순서'!D8:D21,"실동작 확인")</x:f>
        <x:v>4</x:v>
      </x:c>
    </x:row>
    <x:row r="3">
      <x:c r="A3" s="11" t="str">
        <x:v>분석·검색·지도 기반을 유지하고 Gemini 후보→사용자 선택→공식 안내를 연결했습니다. 남은 핵심은 최소 RAG·질문평가·팀 PC 재현입니다.</x:v>
      </x:c>
    </x:row>
    <x:row r="4">
      <x:c r="A4" s="11" t="s">
        <x:v>392</x:v>
      </x:c>
      <x:c r="B4" s="17">
        <x:v>46315.0</x:v>
      </x:c>
      <x:c r="C4" s="1"/>
      <x:c r="D4" s="11" t="s">
        <x:v>393</x:v>
      </x:c>
      <x:c r="E4" s="18">
        <x:v>46321.416666666664</x:v>
      </x:c>
      <x:c r="F4" s="1"/>
      <x:c r="G4" s="11" t="s">
        <x:v>394</x:v>
      </x:c>
      <x:c r="H4" s="11" t="str">
        <x:v>실무 배당: 분석 / 개발 A / 개발 B / PM</x:v>
      </x:c>
    </x:row>
    <x:row r="5">
      <x:c r="A5" s="22" t="str">
        <x:v>공수·전체 완료율을 새로 계산하지 않습니다. 통합현황과순서의 상태별 건수를 확인합니다. 자료 보유와 실제 실행 확인은 다릅니다.</x:v>
      </x:c>
    </x:row>
    <x:row r="6">
      <x:c r="A6" s="1"/>
      <x:c r="B6" s="1"/>
      <x:c r="C6" s="1"/>
      <x:c r="D6" s="1"/>
      <x:c r="E6" s="1"/>
      <x:c r="F6" s="1"/>
      <x:c r="G6" s="1"/>
      <x:c r="H6" s="1"/>
    </x:row>
    <x:row r="7">
      <x:c r="A7" s="27" t="s">
        <x:v>1</x:v>
      </x:c>
      <x:c r="B7" s="27" t="s">
        <x:v>395</x:v>
      </x:c>
      <x:c r="C7" s="27" t="s">
        <x:v>68</x:v>
      </x:c>
      <x:c r="D7" s="27" t="s">
        <x:v>396</x:v>
      </x:c>
      <x:c r="E7" s="27" t="s">
        <x:v>5</x:v>
      </x:c>
      <x:c r="F7" s="27" t="s">
        <x:v>397</x:v>
      </x:c>
      <x:c r="G7" s="27" t="s">
        <x:v>270</x:v>
      </x:c>
      <x:c r="H7" s="27" t="s">
        <x:v>398</x:v>
      </x:c>
    </x:row>
    <x:row r="8">
      <x:c r="A8" s="31" t="s">
        <x:v>281</x:v>
      </x:c>
      <x:c r="B8" s="31" t="s">
        <x:v>399</x:v>
      </x:c>
      <x:c r="C8" s="31" t="s">
        <x:v>400</x:v>
      </x:c>
      <x:c r="D8" s="33" t="s">
        <x:v>401</x:v>
      </x:c>
      <x:c r="E8" s="35" t="s">
        <x:v>402</x:v>
      </x:c>
      <x:c r="F8" s="39" t="str">
        <x:v>자료 보유·최종 대조</x:v>
      </x:c>
      <x:c r="G8" s="39" t="s">
        <x:v>403</x:v>
      </x:c>
      <x:c r="H8" s="42" t="s">
        <x:v>404</x:v>
      </x:c>
    </x:row>
    <x:row r="9">
      <x:c r="A9" s="45" t="s">
        <x:v>285</x:v>
      </x:c>
      <x:c r="B9" s="45" t="s">
        <x:v>405</x:v>
      </x:c>
      <x:c r="C9" s="45" t="s">
        <x:v>406</x:v>
      </x:c>
      <x:c r="D9" s="48" t="s">
        <x:v>407</x:v>
      </x:c>
      <x:c r="E9" s="50" t="s">
        <x:v>402</x:v>
      </x:c>
      <x:c r="F9" s="39" t="str">
        <x:v>코드 보유·회귀 확인</x:v>
      </x:c>
      <x:c r="G9" s="39" t="s">
        <x:v>408</x:v>
      </x:c>
      <x:c r="H9" s="42" t="s">
        <x:v>409</x:v>
      </x:c>
    </x:row>
    <x:row r="10">
      <x:c r="A10" s="45" t="s">
        <x:v>289</x:v>
      </x:c>
      <x:c r="B10" s="45" t="s">
        <x:v>405</x:v>
      </x:c>
      <x:c r="C10" s="45" t="s">
        <x:v>410</x:v>
      </x:c>
      <x:c r="D10" s="33" t="s">
        <x:v>411</x:v>
      </x:c>
      <x:c r="E10" s="35" t="s">
        <x:v>402</x:v>
      </x:c>
      <x:c r="F10" s="39" t="str">
        <x:v>필수·미연결</x:v>
      </x:c>
      <x:c r="G10" s="39" t="s">
        <x:v>412</x:v>
      </x:c>
      <x:c r="H10" s="42" t="s">
        <x:v>413</x:v>
      </x:c>
    </x:row>
    <x:row r="11">
      <x:c r="A11" s="58" t="s">
        <x:v>323</x:v>
      </x:c>
      <x:c r="B11" s="58" t="s">
        <x:v>414</x:v>
      </x:c>
      <x:c r="C11" s="58" t="s">
        <x:v>415</x:v>
      </x:c>
      <x:c r="D11" s="48" t="str">
        <x:v>기존 규칙/문서 관리자 재사용. 로그인·설명 수정·이전/새 값·사용자 재조회·원복 확인 완료. 후보 위치 편집이나 회원가입은 추가하지 않음.</x:v>
      </x:c>
      <x:c r="E11" s="50" t="s">
        <x:v>416</x:v>
      </x:c>
      <x:c r="F11" s="39" t="str">
        <x:v>실동작 확인</x:v>
      </x:c>
      <x:c r="G11" s="39" t="s">
        <x:v>417</x:v>
      </x:c>
      <x:c r="H11" s="42" t="s">
        <x:v>418</x:v>
      </x:c>
    </x:row>
    <x:row r="12">
      <x:c r="A12" s="58" t="s">
        <x:v>319</x:v>
      </x:c>
      <x:c r="B12" s="58" t="s">
        <x:v>414</x:v>
      </x:c>
      <x:c r="C12" s="58" t="s">
        <x:v>419</x:v>
      </x:c>
      <x:c r="D12" s="33" t="str">
        <x:v>Opik 실호출/사후 비교 기록 확인. 남음 R4: 질문10건의 정답·출처·보류 평가. 사진 정확도와 RAG 근거 점수를 분리.</x:v>
      </x:c>
      <x:c r="E12" s="35" t="s">
        <x:v>402</x:v>
      </x:c>
      <x:c r="F12" s="39" t="str">
        <x:v>로그 확인·질문평가 남음</x:v>
      </x:c>
      <x:c r="G12" s="39" t="s">
        <x:v>420</x:v>
      </x:c>
      <x:c r="H12" s="42" t="s">
        <x:v>421</x:v>
      </x:c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4" t="s">
        <x:v>422</x:v>
      </x:c>
    </x:row>
    <x:row r="15">
      <x:c r="A15" s="67" t="s">
        <x:v>423</x:v>
      </x:c>
      <x:c r="B15" s="67" t="s">
        <x:v>424</x:v>
      </x:c>
      <x:c r="C15" s="67" t="str">
        <x:v>정지 사진 Gemini 후보</x:v>
      </x:c>
      <x:c r="D15" s="67" t="str">
        <x:v>후속 예정이던 정지 사진을 현재 연결 완료. 사용자가 최종 선택. YOLO/DINO 연구는 보존하고 추가 학습·모델 교체는 중단.</x:v>
      </x:c>
      <x:c r="E15" s="69" t="s">
        <x:v>425</x:v>
      </x:c>
      <x:c r="F15" s="69" t="str">
        <x:v>연결 완료·추가학습 제외</x:v>
      </x:c>
      <x:c r="G15" s="69" t="s">
        <x:v>426</x:v>
      </x:c>
      <x:c r="H15" s="67" t="s">
        <x:v>427</x:v>
      </x:c>
    </x:row>
    <x:row r="16">
      <x:c r="A16" s="67" t="s">
        <x:v>428</x:v>
      </x:c>
      <x:c r="B16" s="67" t="s">
        <x:v>424</x:v>
      </x:c>
      <x:c r="C16" s="67" t="s">
        <x:v>429</x:v>
      </x:c>
      <x:c r="D16" s="67" t="s">
        <x:v>430</x:v>
      </x:c>
      <x:c r="E16" s="69" t="s">
        <x:v>425</x:v>
      </x:c>
      <x:c r="F16" s="69" t="s">
        <x:v>424</x:v>
      </x:c>
      <x:c r="G16" s="69" t="s">
        <x:v>426</x:v>
      </x:c>
      <x:c r="H16" s="67" t="s">
        <x:v>431</x:v>
      </x:c>
    </x:row>
    <x:row r="17">
      <x:c r="A17" s="67" t="s">
        <x:v>432</x:v>
      </x:c>
      <x:c r="B17" s="67" t="s">
        <x:v>424</x:v>
      </x:c>
      <x:c r="C17" s="67" t="s">
        <x:v>433</x:v>
      </x:c>
      <x:c r="D17" s="67" t="s">
        <x:v>434</x:v>
      </x:c>
      <x:c r="E17" s="69" t="s">
        <x:v>425</x:v>
      </x:c>
      <x:c r="F17" s="69" t="s">
        <x:v>424</x:v>
      </x:c>
      <x:c r="G17" s="69" t="s">
        <x:v>426</x:v>
      </x:c>
      <x:c r="H17" s="67" t="s">
        <x:v>435</x:v>
      </x:c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4" t="s">
        <x:v>436</x:v>
      </x:c>
    </x:row>
    <x:row r="20">
      <x:c r="A20" s="11" t="str">
        <x:v>기존 구현5일(10/20~24)을 유지합니다. 7일 창 중 10/25는 정리 여유, 10/26 10시는 기존 제출 마감. 남은 배당은 통합현황과순서 R1~R6.</x:v>
      </x:c>
    </x:row>
    <x:row r="21">
      <x:c r="A21" s="27" t="s">
        <x:v>437</x:v>
      </x:c>
      <x:c r="B21" s="80" t="s">
        <x:v>438</x:v>
      </x:c>
      <x:c r="C21" s="81"/>
      <x:c r="D21" s="84" t="s">
        <x:v>439</x:v>
      </x:c>
      <x:c r="E21" s="81"/>
      <x:c r="F21" s="85" t="s">
        <x:v>440</x:v>
      </x:c>
      <x:c r="G21" s="81"/>
      <x:c r="H21" s="147" t="str">
        <x:v>현재 상태</x:v>
      </x:c>
    </x:row>
    <x:row r="22">
      <x:c r="A22" s="86">
        <x:v>46315.0</x:v>
      </x:c>
      <x:c r="B22" s="31" t="s">
        <x:v>441</x:v>
      </x:c>
      <x:c r="C22" s="81"/>
      <x:c r="D22" s="45" t="s">
        <x:v>442</x:v>
      </x:c>
      <x:c r="E22" s="81"/>
      <x:c r="F22" s="58" t="s">
        <x:v>443</x:v>
      </x:c>
      <x:c r="G22" s="81"/>
      <x:c r="H22" s="148" t="str">
        <x:v>기반 보유</x:v>
      </x:c>
    </x:row>
    <x:row r="23">
      <x:c r="A23" s="86">
        <x:v>46316.0</x:v>
      </x:c>
      <x:c r="B23" s="31" t="s">
        <x:v>444</x:v>
      </x:c>
      <x:c r="C23" s="81"/>
      <x:c r="D23" s="45" t="s">
        <x:v>445</x:v>
      </x:c>
      <x:c r="E23" s="81"/>
      <x:c r="F23" s="58" t="s">
        <x:v>446</x:v>
      </x:c>
      <x:c r="G23" s="81"/>
      <x:c r="H23" s="148" t="str">
        <x:v>자료·코드 보유</x:v>
      </x:c>
    </x:row>
    <x:row r="24">
      <x:c r="A24" s="86">
        <x:v>46317.0</x:v>
      </x:c>
      <x:c r="B24" s="31" t="str">
        <x:v>3일차
분석: 시연 품목/질문 정답 대조
PM: 현재 상태·범위·ERD 정리</x:v>
      </x:c>
      <x:c r="C24" s="81"/>
      <x:c r="D24" s="45" t="str">
        <x:v>Gemini·사용자/관리자·Opik 연결 확인
남음: 개발 B 최소 RAG, 개발 A 질문 UI</x:v>
      </x:c>
      <x:c r="E24" s="81"/>
      <x:c r="F24" s="58" t="str">
        <x:v>사진·관리자 실동작·비교75건
RAG 답변과 팀PC 재현은 남음</x:v>
      </x:c>
      <x:c r="G24" s="81"/>
      <x:c r="H24" s="148" t="str">
        <x:v>일부 확인</x:v>
      </x:c>
    </x:row>
    <x:row r="25">
      <x:c r="A25" s="86">
        <x:v>46318.0</x:v>
      </x:c>
      <x:c r="B25" s="31" t="str">
        <x:v>4일차
분석 R1: 원문·질문10건 확정
PM: 승인/제안·수치 대조</x:v>
      </x:c>
      <x:c r="C25" s="81"/>
      <x:c r="D25" s="45" t="str">
        <x:v>개발 B R2: 검색·근거 답변
개발 A R3/R5: 질문 UI·검색/경로 회귀</x:v>
      </x:c>
      <x:c r="E25" s="81"/>
      <x:c r="F25" s="58" t="str">
        <x:v>근거있는 답변+보류 각1건
기존 기능 회귀 기록</x:v>
      </x:c>
      <x:c r="G25" s="81"/>
      <x:c r="H25" s="148" t="str">
        <x:v>예정</x:v>
      </x:c>
    </x:row>
    <x:row r="26">
      <x:c r="A26" s="86">
        <x:v>46319.0</x:v>
      </x:c>
      <x:c r="B26" s="31" t="str">
        <x:v>5일차
분석 R4: 질문10건 결과평가
PM R6: 다른 PC 재현·시연</x:v>
      </x:c>
      <x:c r="C26" s="81"/>
      <x:c r="D26" s="45" t="str">
        <x:v>개발 B: 근거/보류 결함 수정
개발 A: 설치·화면·경로 마무리</x:v>
      </x:c>
      <x:c r="E26" s="81"/>
      <x:c r="F26" s="58" t="str">
        <x:v>질문평가·새PC실행·제출목록
새 기능 동결, 원격공유는 승인 후</x:v>
      </x:c>
      <x:c r="G26" s="81"/>
      <x:c r="H26" s="148" t="str">
        <x:v>예정</x:v>
      </x:c>
    </x:row>
  </x:sheetData>
  <x:mergeCells>
    <x:mergeCell ref="D21:E21"/>
    <x:mergeCell ref="F21:G21"/>
    <x:mergeCell ref="A2:E2"/>
    <x:mergeCell ref="A3:H3"/>
    <x:mergeCell ref="A5:H5"/>
    <x:mergeCell ref="A14:H14"/>
    <x:mergeCell ref="A19:H19"/>
    <x:mergeCell ref="A20:H20"/>
    <x:mergeCell ref="B21:C21"/>
    <x:mergeCell ref="D24:E24"/>
    <x:mergeCell ref="F24:G24"/>
    <x:mergeCell ref="B25:C25"/>
    <x:mergeCell ref="D25:E25"/>
    <x:mergeCell ref="F25:G25"/>
    <x:mergeCell ref="B26:C26"/>
    <x:mergeCell ref="D26:E26"/>
    <x:mergeCell ref="F26:G26"/>
    <x:mergeCell ref="B22:C22"/>
    <x:mergeCell ref="D22:E22"/>
    <x:mergeCell ref="F22:G22"/>
    <x:mergeCell ref="B23:C23"/>
    <x:mergeCell ref="D23:E23"/>
    <x:mergeCell ref="F23:G23"/>
    <x:mergeCell ref="B24:C2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ColWidth="12.630000114440918" defaultRowHeight="15"/>
  <x:cols>
    <x:col min="1" max="1" width="12" customWidth="1"/>
    <x:col min="2" max="2" width="17" customWidth="1"/>
    <x:col min="3" max="3" width="27" customWidth="1"/>
    <x:col min="4" max="4" width="16" customWidth="1"/>
    <x:col min="5" max="5" width="58" customWidth="1"/>
    <x:col min="6" max="6" width="18" customWidth="1"/>
    <x:col min="7" max="7" width="37" customWidth="1"/>
    <x:col min="8" max="8" width="14" customWidth="1"/>
    <x:col min="9" max="9" width="15" customWidth="1"/>
    <x:col min="10" max="10" width="43" customWidth="1"/>
    <x:col min="11" max="26" width="8.630000114440918" customWidth="1"/>
  </x:cols>
  <x:sheetData>
    <x:row r="2">
      <x:c r="A2" s="124" t="s">
        <x:v>447</x:v>
      </x:c>
      <x:c r="B2" s="125"/>
      <x:c r="C2" s="125"/>
      <x:c r="D2" s="125"/>
      <x:c r="E2" s="125"/>
      <x:c r="F2" s="125"/>
      <x:c r="G2" s="125"/>
      <x:c r="H2" s="125"/>
      <x:c r="I2" s="125"/>
      <x:c r="J2" s="125"/>
    </x:row>
    <x:row r="3" ht="24.75" customHeight="1">
      <x:c r="A3" s="125" t="s">
        <x:v>448</x:v>
      </x:c>
      <x:c r="B3" s="125" t="str">
        <x:v>2026-10-22 · 로컬 커밋 4a7ef50 · 원격 푸시 안 함 · 원본 요구사항/자료 보존</x:v>
      </x:c>
      <x:c r="C3" s="125"/>
      <x:c r="D3" s="125"/>
      <x:c r="E3" s="125"/>
      <x:c r="F3" s="125"/>
      <x:c r="G3" s="125"/>
      <x:c r="H3" s="125"/>
      <x:c r="I3" s="125"/>
      <x:c r="J3" s="125"/>
    </x:row>
    <x:row r="4" ht="24.75" customHeight="1">
      <x:c r="A4" s="126" t="s">
        <x:v>449</x:v>
      </x:c>
      <x:c r="B4" s="127" t="n">
        <x:f>COUNTA(C8:C21)</x:f>
        <x:v>14</x:v>
      </x:c>
      <x:c r="C4" s="126" t="s">
        <x:v>450</x:v>
      </x:c>
      <x:c r="D4" s="127" t="n">
        <x:f>COUNTIFS(D8:D21,"Git 코드")</x:f>
        <x:v>5</x:v>
      </x:c>
      <x:c r="E4" s="126" t="s">
        <x:v>451</x:v>
      </x:c>
      <x:c r="F4" s="127" t="n">
        <x:f>COUNTIFS(D8:D21,"Git 자료")</x:f>
        <x:v>3</x:v>
      </x:c>
      <x:c r="G4" s="126" t="s">
        <x:v>452</x:v>
      </x:c>
      <x:c r="H4" s="127" t="n">
        <x:f>COUNTIFS(D8:D21,"로컬 시험")+COUNTIFS(D8:D21,"Git 일부")</x:f>
        <x:v>0</x:v>
      </x:c>
      <x:c r="I4" s="126" t="s">
        <x:v>453</x:v>
      </x:c>
      <x:c r="J4" s="127" t="n">
        <x:f>COUNTIFS(D8:D21,"미연결")+COUNTIFS(D8:D21,"검증 대기")</x:f>
        <x:v>2</x:v>
      </x:c>
    </x:row>
    <x:row r="5" ht="36" customHeight="1">
      <x:c r="A5" s="125" t="s">
        <x:v>454</x:v>
      </x:c>
      <x:c r="B5" s="125" t="str">
        <x:v>전체 %는 계산하지 않음. 자료/코드 확보와 실제 실행 확인을 분리. 이전 85.2%도 옛 단계식 참고값으로 사용 중단.</x:v>
      </x:c>
      <x:c r="C5" s="125"/>
      <x:c r="D5" s="125"/>
      <x:c r="E5" s="125"/>
      <x:c r="F5" s="125"/>
      <x:c r="G5" s="125"/>
      <x:c r="H5" s="125"/>
      <x:c r="I5" s="125" t="s">
        <x:v>455</x:v>
      </x:c>
      <x:c r="J5" s="125" t="n">
        <x:f>COUNTIFS(D8:D21,"실동작 확인")</x:f>
        <x:v>4</x:v>
      </x:c>
    </x:row>
    <x:row r="6" ht="36" customHeight="1">
      <x:c r="A6" s="125" t="s">
        <x:v>456</x:v>
      </x:c>
      <x:c r="B6" s="125" t="str">
        <x:v>보유 주소→담당 제안/경로→Gemini 후보→사용자 선택→공식 DB 안내→관리자 수정. RAG 근거 답변은 아직 남음.</x:v>
      </x:c>
      <x:c r="C6" s="125"/>
      <x:c r="D6" s="125"/>
      <x:c r="E6" s="125"/>
      <x:c r="F6" s="125"/>
      <x:c r="G6" s="125"/>
      <x:c r="H6" s="125"/>
      <x:c r="I6" s="125"/>
      <x:c r="J6" s="125"/>
    </x:row>
    <x:row r="7" ht="28.5" customHeight="1">
      <x:c r="A7" s="128" t="s">
        <x:v>7</x:v>
      </x:c>
      <x:c r="B7" s="128" t="s">
        <x:v>457</x:v>
      </x:c>
      <x:c r="C7" s="128" t="s">
        <x:v>458</x:v>
      </x:c>
      <x:c r="D7" s="128" t="s">
        <x:v>459</x:v>
      </x:c>
      <x:c r="E7" s="128" t="s">
        <x:v>460</x:v>
      </x:c>
      <x:c r="F7" s="128" t="s">
        <x:v>461</x:v>
      </x:c>
      <x:c r="G7" s="128" t="s">
        <x:v>462</x:v>
      </x:c>
      <x:c r="H7" s="128" t="s">
        <x:v>463</x:v>
      </x:c>
      <x:c r="I7" s="128" t="s">
        <x:v>464</x:v>
      </x:c>
      <x:c r="J7" s="128" t="s">
        <x:v>465</x:v>
      </x:c>
    </x:row>
    <x:row r="8" ht="66" customHeight="1">
      <x:c r="A8" s="129">
        <x:v>1.0</x:v>
      </x:c>
      <x:c r="B8" s="129" t="s">
        <x:v>8</x:v>
      </x:c>
      <x:c r="C8" s="130" t="s">
        <x:v>466</x:v>
      </x:c>
      <x:c r="D8" s="129" t="str">
        <x:v>Git 자료</x:v>
      </x:c>
      <x:c r="E8" s="130" t="str">
        <x:v>현재 1,585필지·7,193 등록 주거단위 자료 연결. 분석이 표본 5건의 단위·기준일·배출량 추정을 대조(R1). 실측 배출량으로 표현하지 않음.</x:v>
      </x:c>
      <x:c r="F8" s="130" t="str">
        <x:v>분석</x:v>
      </x:c>
      <x:c r="G8" s="130" t="str">
        <x:v>2차 결과·배출량 산식</x:v>
      </x:c>
      <x:c r="H8" s="129" t="str">
        <x:v>10/23 오전</x:v>
      </x:c>
      <x:c r="I8" s="129" t="str">
        <x:v>가능</x:v>
      </x:c>
      <x:c r="J8" s="130" t="str">
        <x:v>팀 결과·data/analysis/; 재분석 아님</x:v>
      </x:c>
    </x:row>
    <x:row r="9" ht="66" customHeight="1">
      <x:c r="A9" s="131">
        <x:v>2.0</x:v>
      </x:c>
      <x:c r="B9" s="131" t="s">
        <x:v>14</x:v>
      </x:c>
      <x:c r="C9" s="132" t="s">
        <x:v>467</x:v>
      </x:c>
      <x:c r="D9" s="131" t="str">
        <x:v>Git 자료</x:v>
      </x:c>
      <x:c r="E9" s="132" t="str">
        <x:v>9개 제안점의 등록폭·보호시설 거리·실사 필요를 한 표로 최종 대조(R1). 현장 유효폭·정차·보행·부지 동의는 미확인 유지.</x:v>
      </x:c>
      <x:c r="F9" s="132" t="str">
        <x:v>분석</x:v>
      </x:c>
      <x:c r="G9" s="132" t="str">
        <x:v>거점·도로·보호시설 속성</x:v>
      </x:c>
      <x:c r="H9" s="131" t="str">
        <x:v>10/23 오전</x:v>
      </x:c>
      <x:c r="I9" s="131" t="str">
        <x:v>조건부</x:v>
      </x:c>
      <x:c r="J9" s="132" t="str">
        <x:v>data/greenzone2nd.geojson; 현장 승인 아님</x:v>
      </x:c>
    </x:row>
    <x:row r="10" ht="66" customHeight="1">
      <x:c r="A10" s="129">
        <x:v>3.0</x:v>
      </x:c>
      <x:c r="B10" s="129" t="s">
        <x:v>17</x:v>
      </x:c>
      <x:c r="C10" s="130" t="s">
        <x:v>468</x:v>
      </x:c>
      <x:c r="D10" s="129" t="str">
        <x:v>Git 코드</x:v>
      </x:c>
      <x:c r="E10" s="130" t="str">
        <x:v>보유 검색·더보기·지우기 코드 확보. 개발 A가 도로명/지번/건물명 5건을 브라우저 재검증(R5). 자동완성 추가 안 함.</x:v>
      </x:c>
      <x:c r="F10" s="130" t="str">
        <x:v>개발 A</x:v>
      </x:c>
      <x:c r="G10" s="130" t="str">
        <x:v>대조 주소 5건</x:v>
      </x:c>
      <x:c r="H10" s="129" t="str">
        <x:v>10/23</x:v>
      </x:c>
      <x:c r="I10" s="129" t="str">
        <x:v>가능</x:v>
      </x:c>
      <x:c r="J10" s="130" t="str">
        <x:v>main.py; static/script.js; 재검증 남음</x:v>
      </x:c>
    </x:row>
    <x:row r="11" ht="66" customHeight="1">
      <x:c r="A11" s="131">
        <x:v>4.0</x:v>
      </x:c>
      <x:c r="B11" s="131" t="s">
        <x:v>22</x:v>
      </x:c>
      <x:c r="C11" s="132" t="s">
        <x:v>469</x:v>
      </x:c>
      <x:c r="D11" s="131" t="str">
        <x:v>Git 코드</x:v>
      </x:c>
      <x:c r="E11" s="132" t="str">
        <x:v>담당 생활권/거점·직선거리 코드 확보. 같은 주소 5건을 팀 표와 대조(R5). 실제 보행거리로 표시하지 않음.</x:v>
      </x:c>
      <x:c r="F11" s="132" t="str">
        <x:v>개발 A + 분석</x:v>
      </x:c>
      <x:c r="G11" s="132" t="str">
        <x:v>검색 5건·거점 대조표</x:v>
      </x:c>
      <x:c r="H11" s="131" t="str">
        <x:v>10/23</x:v>
      </x:c>
      <x:c r="I11" s="131" t="str">
        <x:v>가능</x:v>
      </x:c>
      <x:c r="J11" s="132" t="str">
        <x:v>main.py; static/map.js</x:v>
      </x:c>
    </x:row>
    <x:row r="12" ht="66" customHeight="1">
      <x:c r="A12" s="129">
        <x:v>5.0</x:v>
      </x:c>
      <x:c r="B12" s="129" t="s">
        <x:v>49</x:v>
      </x:c>
      <x:c r="C12" s="130" t="s">
        <x:v>470</x:v>
      </x:c>
      <x:c r="D12" s="129" t="str">
        <x:v>Git 코드</x:v>
      </x:c>
      <x:c r="E12" s="130" t="str">
        <x:v>카카오 초기 지도 표시 확인. Leaflet/Folium 한 페이지 통합 커밋. 두 보기의 필터·전환 회귀 확인(R5). 위성 추가 안 함.</x:v>
      </x:c>
      <x:c r="F12" s="130" t="str">
        <x:v>개발 A</x:v>
      </x:c>
      <x:c r="G12" s="130" t="str">
        <x:v>localhost:8000·기존 지도 키</x:v>
      </x:c>
      <x:c r="H12" s="129" t="str">
        <x:v>10/23</x:v>
      </x:c>
      <x:c r="I12" s="129" t="str">
        <x:v>가능</x:v>
      </x:c>
      <x:c r="J12" s="130" t="str">
        <x:v>실제 카카오 화면 확인; 전체 필터 재검증 남음</x:v>
      </x:c>
    </x:row>
    <x:row r="13" ht="66" customHeight="1">
      <x:c r="A13" s="131">
        <x:v>6.0</x:v>
      </x:c>
      <x:c r="B13" s="131" t="s">
        <x:v>471</x:v>
      </x:c>
      <x:c r="C13" s="132" t="s">
        <x:v>472</x:v>
      </x:c>
      <x:c r="D13" s="131" t="str">
        <x:v>Git 코드</x:v>
      </x:c>
      <x:c r="E13" s="132" t="str">
        <x:v>자동·직접 순서 각 1건 계산과 번호/구간거리를 확인(R5). 등록 도로망의 근사 경로이며 실제 운행 검증 아님.</x:v>
      </x:c>
      <x:c r="F13" s="132" t="str">
        <x:v>개발 A</x:v>
      </x:c>
      <x:c r="G13" s="132" t="str">
        <x:v>기존 거점·도로 그래프</x:v>
      </x:c>
      <x:c r="H13" s="131" t="str">
        <x:v>10/23</x:v>
      </x:c>
      <x:c r="I13" s="131" t="str">
        <x:v>가능</x:v>
      </x:c>
      <x:c r="J13" s="132" t="str">
        <x:v>route_planner.py; static/route.js</x:v>
      </x:c>
    </x:row>
    <x:row r="14" ht="66" customHeight="1">
      <x:c r="A14" s="129">
        <x:v>7.0</x:v>
      </x:c>
      <x:c r="B14" s="129" t="s">
        <x:v>26</x:v>
      </x:c>
      <x:c r="C14" s="130" t="s">
        <x:v>473</x:v>
      </x:c>
      <x:c r="D14" s="129" t="str">
        <x:v>실동작 확인</x:v>
      </x:c>
      <x:c r="E14" s="130" t="str">
        <x:v>확인 완료: 사진 업로드→Gemini 후보→사용자 품목 선택→규격/수량→참고금액·출처. 소파 2인용 1개로 브라우저 확인.</x:v>
      </x:c>
      <x:c r="F14" s="130" t="str">
        <x:v>개발 B</x:v>
      </x:c>
      <x:c r="G14" s="130" t="str">
        <x:v>현재 코드 유지</x:v>
      </x:c>
      <x:c r="H14" s="129" t="str">
        <x:v>완료</x:v>
      </x:c>
      <x:c r="I14" s="129" t="str">
        <x:v>가능</x:v>
      </x:c>
      <x:c r="J14" s="130" t="str">
        <x:v>service_verification.json; 사용자 캡처</x:v>
      </x:c>
    </x:row>
    <x:row r="15" ht="66" customHeight="1">
      <x:c r="A15" s="131">
        <x:v>8.0</x:v>
      </x:c>
      <x:c r="B15" s="131" t="s">
        <x:v>41</x:v>
      </x:c>
      <x:c r="C15" s="132" t="s">
        <x:v>474</x:v>
      </x:c>
      <x:c r="D15" s="131" t="str">
        <x:v>실동작 확인</x:v>
      </x:c>
      <x:c r="E15" s="132" t="str">
        <x:v>Gemini 채택. 추가 15장(실제12+합성3)×5방식=75회. 후보·보류·오판 사례 기록. YOLO/DINO 기본 경로 제외. 정확도 확정 아님.</x:v>
      </x:c>
      <x:c r="F15" s="132" t="str">
        <x:v>분석 + 개발 B</x:v>
      </x:c>
      <x:c r="G15" s="132" t="str">
        <x:v>추가 학습/모델 비교 중단</x:v>
      </x:c>
      <x:c r="H15" s="131" t="str">
        <x:v>완료</x:v>
      </x:c>
      <x:c r="I15" s="131" t="str">
        <x:v>가능</x:v>
      </x:c>
      <x:c r="J15" s="132" t="str">
        <x:v>evaluation_20261022/; Opik 사후 75건·실호출 별도</x:v>
      </x:c>
    </x:row>
    <x:row r="16" ht="66" customHeight="1">
      <x:c r="A16" s="129">
        <x:v>9.0</x:v>
      </x:c>
      <x:c r="B16" s="129" t="s">
        <x:v>45</x:v>
      </x:c>
      <x:c r="C16" s="130" t="s">
        <x:v>475</x:v>
      </x:c>
      <x:c r="D16" s="129" t="str">
        <x:v>Git 자료</x:v>
      </x:c>
      <x:c r="E16" s="130" t="str">
        <x:v>자료 보유: 91품목·268규칙·법령/안내 발췌5건. 시연 품목 5개와 질문10개의 현재 금액·시행일·요일만 우선 대조(R1). 모르면 보류.</x:v>
      </x:c>
      <x:c r="F16" s="130" t="str">
        <x:v>분석</x:v>
      </x:c>
      <x:c r="G16" s="130" t="str">
        <x:v>공식 원문·확인일·시행일</x:v>
      </x:c>
      <x:c r="H16" s="129" t="str">
        <x:v>10/23 오전</x:v>
      </x:c>
      <x:c r="I16" s="129" t="str">
        <x:v>조건부</x:v>
      </x:c>
      <x:c r="J16" s="130" t="str">
        <x:v>data/knowledge/; 자료 보유≠최신 대조 완료</x:v>
      </x:c>
    </x:row>
    <x:row r="17" ht="66" customHeight="1">
      <x:c r="A17" s="131">
        <x:v>10.0</x:v>
      </x:c>
      <x:c r="B17" s="131" t="s">
        <x:v>45</x:v>
      </x:c>
      <x:c r="C17" s="132" t="s">
        <x:v>476</x:v>
      </x:c>
      <x:c r="D17" s="131" t="str">
        <x:v>미연결</x:v>
      </x:c>
      <x:c r="E17" s="132" t="str">
        <x:v>R2: 검증 문서 분할→임베딩/검색→Gemini 설명→출처/날짜. R3: 기존 배출 페이지에 질문칸만 연결. 규격 금액은 DB 조회, 근거 없으면 보류.</x:v>
      </x:c>
      <x:c r="F17" s="132" t="str">
        <x:v>개발 B → 개발 A</x:v>
      </x:c>
      <x:c r="G17" s="132" t="str">
        <x:v>R1 근거10건·현재 Gemini 키</x:v>
      </x:c>
      <x:c r="H17" s="131" t="str">
        <x:v>10/23</x:v>
      </x:c>
      <x:c r="I17" s="131" t="str">
        <x:v>조건부</x:v>
      </x:c>
      <x:c r="J17" s="132" t="str">
        <x:v>현재는 DB 발췌 조회. RAG/환각 자동심사 미구현</x:v>
      </x:c>
    </x:row>
    <x:row r="18" ht="66" customHeight="1">
      <x:c r="A18" s="129">
        <x:v>11.0</x:v>
      </x:c>
      <x:c r="B18" s="129" t="s">
        <x:v>477</x:v>
      </x:c>
      <x:c r="C18" s="130" t="s">
        <x:v>478</x:v>
      </x:c>
      <x:c r="D18" s="129" t="str">
        <x:v>실동작 확인</x:v>
      </x:c>
      <x:c r="E18" s="130" t="str">
        <x:v>로그인·설명 수정→사용자 재조회→원복·한국어 이력 확인 완료. 금액 변경 없음. 회원가입/새 관리자 시스템 추가 안 함.</x:v>
      </x:c>
      <x:c r="F18" s="130" t="str">
        <x:v>개발 A</x:v>
      </x:c>
      <x:c r="G18" s="130" t="str">
        <x:v>현재 코드 유지</x:v>
      </x:c>
      <x:c r="H18" s="129" t="str">
        <x:v>완료</x:v>
      </x:c>
      <x:c r="I18" s="129" t="str">
        <x:v>가능</x:v>
      </x:c>
      <x:c r="J18" s="130" t="str">
        <x:v>HTTP 18건·관리자 캡처·DB 수정 이력2건</x:v>
      </x:c>
    </x:row>
    <x:row r="19" ht="66" customHeight="1">
      <x:c r="A19" s="131">
        <x:v>12.0</x:v>
      </x:c>
      <x:c r="B19" s="131" t="s">
        <x:v>57</x:v>
      </x:c>
      <x:c r="C19" s="132" t="s">
        <x:v>479</x:v>
      </x:c>
      <x:c r="D19" s="131" t="str">
        <x:v>실동작 확인</x:v>
      </x:c>
      <x:c r="E19" s="132" t="str">
        <x:v>전송 고지·EXIF 제거·사진 서버 비저장·Opik 무사진 기록 확인. 검색어/주소를 평가 로그에 추가하지 않음. 영상 마스킹 제외.</x:v>
      </x:c>
      <x:c r="F19" s="132" t="str">
        <x:v>개발 B + PM</x:v>
      </x:c>
      <x:c r="G19" s="132" t="str">
        <x:v>현재 정책 유지</x:v>
      </x:c>
      <x:c r="H19" s="131" t="str">
        <x:v>완료</x:v>
      </x:c>
      <x:c r="I19" s="131" t="str">
        <x:v>가능</x:v>
      </x:c>
      <x:c r="J19" s="132" t="str">
        <x:v>vision_service.py; .env/DB Git 제외 확인</x:v>
      </x:c>
    </x:row>
    <x:row r="20" ht="66" customHeight="1">
      <x:c r="A20" s="129">
        <x:v>13.0</x:v>
      </x:c>
      <x:c r="B20" s="129" t="s">
        <x:v>62</x:v>
      </x:c>
      <x:c r="C20" s="130" t="s">
        <x:v>480</x:v>
      </x:c>
      <x:c r="D20" s="129" t="str">
        <x:v>Git 코드</x:v>
      </x:c>
      <x:c r="E20" s="130" t="str">
        <x:v>승인 전 제안 문구와 자료 한계 코드/문서 보유. 검색·경로·분석 전체 화면 문구를 최종 대조(R5). 지정·단속 승인 제외.</x:v>
      </x:c>
      <x:c r="F20" s="130" t="str">
        <x:v>PM + 개발 A</x:v>
      </x:c>
      <x:c r="G20" s="130" t="str">
        <x:v>화면별 문구</x:v>
      </x:c>
      <x:c r="H20" s="129" t="str">
        <x:v>10/24</x:v>
      </x:c>
      <x:c r="I20" s="129" t="str">
        <x:v>가능</x:v>
      </x:c>
      <x:c r="J20" s="130" t="str">
        <x:v>README; templates/; 실제 승인 아님</x:v>
      </x:c>
    </x:row>
    <x:row r="21" ht="66" customHeight="1">
      <x:c r="A21" s="131">
        <x:v>14.0</x:v>
      </x:c>
      <x:c r="B21" s="131" t="s">
        <x:v>481</x:v>
      </x:c>
      <x:c r="C21" s="132" t="s">
        <x:v>482</x:v>
      </x:c>
      <x:c r="D21" s="131" t="str">
        <x:v>검증 대기</x:v>
      </x:c>
      <x:c r="E21" s="132" t="str">
        <x:v>R6: 팀원 다른 PC에서 설치→검색/거점/경로→사진/수동 품목→RAG→관리자 확인. 로컬 확인과 팀 PC 재현, 커밋과 푸시를 분리.</x:v>
      </x:c>
      <x:c r="F21" s="132" t="str">
        <x:v>PM + 개발 A/B</x:v>
      </x:c>
      <x:c r="G21" s="132" t="str">
        <x:v>R1~R5·새 PC</x:v>
      </x:c>
      <x:c r="H21" s="131" t="str">
        <x:v>10/24</x:v>
      </x:c>
      <x:c r="I21" s="131" t="str">
        <x:v>조건부</x:v>
      </x:c>
      <x:c r="J21" s="132" t="str">
        <x:v>현재 한 PC의 18 HTTP 점검·화면 확인. 팀 PC 미확인</x:v>
      </x:c>
    </x:row>
    <x:row r="22" ht="15.75" customHeight="1">
      <x:c r="A22" s="125"/>
      <x:c r="B22" s="125"/>
      <x:c r="C22" s="125"/>
      <x:c r="D22" s="125"/>
      <x:c r="E22" s="125"/>
      <x:c r="F22" s="125"/>
      <x:c r="G22" s="125"/>
      <x:c r="H22" s="125"/>
      <x:c r="I22" s="125"/>
      <x:c r="J22" s="125"/>
    </x:row>
    <x:row r="23" ht="15.75" customHeight="1">
      <x:c r="A23" s="125"/>
      <x:c r="B23" s="125"/>
      <x:c r="C23" s="125"/>
      <x:c r="D23" s="125"/>
      <x:c r="E23" s="125"/>
      <x:c r="F23" s="125"/>
      <x:c r="G23" s="125"/>
      <x:c r="H23" s="125"/>
      <x:c r="I23" s="125"/>
      <x:c r="J23" s="125"/>
    </x:row>
    <x:row r="24" ht="15.75" customHeight="1">
      <x:c r="A24" s="133" t="str">
        <x:v>남은 작업 배당 · 새 기능 확장 금지</x:v>
      </x:c>
      <x:c r="B24" s="125"/>
      <x:c r="C24" s="125"/>
      <x:c r="D24" s="125"/>
      <x:c r="E24" s="125"/>
      <x:c r="F24" s="125"/>
      <x:c r="G24" s="125"/>
      <x:c r="H24" s="125"/>
      <x:c r="I24" s="125"/>
      <x:c r="J24" s="125"/>
    </x:row>
    <x:row r="25" ht="28.5" customHeight="1">
      <x:c r="A25" s="134" t="str">
        <x:v>ID</x:v>
      </x:c>
      <x:c r="B25" s="134" t="str">
        <x:v>담당 역할</x:v>
      </x:c>
      <x:c r="C25" s="134" t="str">
        <x:v>해야 할 일</x:v>
      </x:c>
      <x:c r="D25" s="134" t="str">
        <x:v>먼저 받을 것</x:v>
      </x:c>
      <x:c r="E25" s="134" t="str">
        <x:v>완료 확인</x:v>
      </x:c>
      <x:c r="F25" s="134" t="str">
        <x:v>목표</x:v>
      </x:c>
      <x:c r="G25" s="134" t="str">
        <x:v>선행</x:v>
      </x:c>
      <x:c r="H25" s="125"/>
      <x:c r="I25" s="125"/>
      <x:c r="J25" s="125"/>
    </x:row>
    <x:row r="26" ht="90" customHeight="1">
      <x:c r="A26" s="140" t="str">
        <x:v>R1</x:v>
      </x:c>
      <x:c r="B26" s="141" t="str">
        <x:v>분석</x:v>
      </x:c>
      <x:c r="C26" s="141" t="str">
        <x:v>시연 품목5개·질문10개 원문 대조. 거점9곳의 확인/미확인·수요 표본5건 정리.</x:v>
      </x:c>
      <x:c r="D26" s="141" t="str">
        <x:v>기존 공식 원문·팀 분석</x:v>
      </x:c>
      <x:c r="E26" s="141" t="str">
        <x:v>정답·문서ID·출처·확인일·시행일. 미확인은 미확인.</x:v>
      </x:c>
      <x:c r="F26" s="141" t="str">
        <x:v>10/23 오전</x:v>
      </x:c>
      <x:c r="G26" s="141" t="str">
        <x:v>기존 자료</x:v>
      </x:c>
      <x:c r="H26" s="125"/>
      <x:c r="I26" s="125"/>
      <x:c r="J26" s="125"/>
    </x:row>
    <x:row r="27" ht="90" customHeight="1">
      <x:c r="A27" s="142" t="str">
        <x:v>R2</x:v>
      </x:c>
      <x:c r="B27" s="143" t="str">
        <x:v>개발 B</x:v>
      </x:c>
      <x:c r="C27" s="143" t="str">
        <x:v>함수 3~4개로 문서 분할·임베딩 검색·Gemini 답변 연결. 새 DB/에이전트 금지.</x:v>
      </x:c>
      <x:c r="D27" s="143" t="str">
        <x:v>R1 검증 문서·질문</x:v>
      </x:c>
      <x:c r="E27" s="143" t="str">
        <x:v>근거있는 답변1건+근거없는 보류1건. 금액은 DB.</x:v>
      </x:c>
      <x:c r="F27" s="143" t="str">
        <x:v>10/23</x:v>
      </x:c>
      <x:c r="G27" s="143" t="str">
        <x:v>R1</x:v>
      </x:c>
      <x:c r="H27" s="125"/>
      <x:c r="I27" s="125"/>
      <x:c r="J27" s="125"/>
    </x:row>
    <x:row r="28" ht="90" customHeight="1">
      <x:c r="A28" s="140" t="str">
        <x:v>R3</x:v>
      </x:c>
      <x:c r="B28" s="141" t="str">
        <x:v>개발 A</x:v>
      </x:c>
      <x:c r="C28" s="141" t="str">
        <x:v>기존 /disposal에 질문 입력·답변·출처만 연결. 별도 채팅 서비스 만들지 않음.</x:v>
      </x:c>
      <x:c r="D28" s="141" t="str">
        <x:v>R2 응답 JSON</x:v>
      </x:c>
      <x:c r="E28" s="141" t="str">
        <x:v>질문→근거 답변/보류. 기존 사진·관리 화면 유지.</x:v>
      </x:c>
      <x:c r="F28" s="141" t="str">
        <x:v>10/23 오후</x:v>
      </x:c>
      <x:c r="G28" s="141" t="str">
        <x:v>R2</x:v>
      </x:c>
      <x:c r="H28" s="125"/>
      <x:c r="I28" s="125"/>
      <x:c r="J28" s="125"/>
    </x:row>
    <x:row r="29" ht="90" customHeight="1">
      <x:c r="A29" s="142" t="str">
        <x:v>R4</x:v>
      </x:c>
      <x:c r="B29" s="143" t="str">
        <x:v>분석 + 개발 B</x:v>
      </x:c>
      <x:c r="C29" s="143" t="str">
        <x:v>질문10건의 값/출처/보류를 평가해 Opik 점수로 기록. 자동 환각심사는 선택.</x:v>
      </x:c>
      <x:c r="D29" s="143" t="str">
        <x:v>R1 정답·R2/R3 화면</x:v>
      </x:c>
      <x:c r="E29" s="143" t="str">
        <x:v>질문별 결과표·실패 사례. 비용/정확도 임의 산출 금지.</x:v>
      </x:c>
      <x:c r="F29" s="143" t="str">
        <x:v>10/24 오전</x:v>
      </x:c>
      <x:c r="G29" s="143" t="str">
        <x:v>R1~R3</x:v>
      </x:c>
      <x:c r="H29" s="125"/>
      <x:c r="I29" s="125"/>
      <x:c r="J29" s="125"/>
    </x:row>
    <x:row r="30" ht="90" customHeight="1">
      <x:c r="A30" s="140" t="str">
        <x:v>R5</x:v>
      </x:c>
      <x:c r="B30" s="141" t="str">
        <x:v>개발 A</x:v>
      </x:c>
      <x:c r="C30" s="141" t="str">
        <x:v>주소5건·담당 거점·지도2보기·경로2건 회귀 확인. 제안 문구 확인.</x:v>
      </x:c>
      <x:c r="D30" s="141" t="str">
        <x:v>기존 코드·대조 주소</x:v>
      </x:c>
      <x:c r="E30" s="141" t="str">
        <x:v>화면 기록·결함 수정. 새 지도/검색API 추가 안 함.</x:v>
      </x:c>
      <x:c r="F30" s="141" t="str">
        <x:v>10/23~24</x:v>
      </x:c>
      <x:c r="G30" s="141" t="str">
        <x:v>기존 기능</x:v>
      </x:c>
      <x:c r="H30" s="125"/>
      <x:c r="I30" s="125"/>
      <x:c r="J30" s="125"/>
    </x:row>
    <x:row r="31" ht="90" customHeight="1">
      <x:c r="A31" s="144" t="str">
        <x:v>R6</x:v>
      </x:c>
      <x:c r="B31" s="145" t="str">
        <x:v>PM + 개발 A/B</x:v>
      </x:c>
      <x:c r="C31" s="145" t="str">
        <x:v>다른 팀 PC 재현·README/ERD/명세 대조·시연 순서 확정. 승인 후 원격 공유.</x:v>
      </x:c>
      <x:c r="D31" s="145" t="str">
        <x:v>R1~R5·현재 커밋</x:v>
      </x:c>
      <x:c r="E31" s="145" t="str">
        <x:v>설치/실행 기록·제출 목록. 푸시 별도 승인.</x:v>
      </x:c>
      <x:c r="F31" s="145" t="str">
        <x:v>10/24 마무리</x:v>
      </x:c>
      <x:c r="G31" s="145" t="str">
        <x:v>R1~R5</x:v>
      </x:c>
      <x:c r="H31" s="125"/>
      <x:c r="I31" s="125"/>
      <x:c r="J31" s="125"/>
    </x:row>
    <x:row r="32" ht="15.75" customHeight="1">
      <x:c r="A32" s="125"/>
      <x:c r="B32" s="125"/>
      <x:c r="C32" s="125"/>
      <x:c r="D32" s="125"/>
      <x:c r="E32" s="125"/>
      <x:c r="F32" s="125"/>
      <x:c r="G32" s="125"/>
      <x:c r="H32" s="125"/>
      <x:c r="I32" s="125"/>
      <x:c r="J32" s="125"/>
    </x:row>
    <x:row r="33" ht="15.75" customHeight="1">
      <x:c r="A33" s="125"/>
      <x:c r="B33" s="125"/>
      <x:c r="C33" s="133" t="s">
        <x:v>483</x:v>
      </x:c>
      <x:c r="D33" s="125"/>
      <x:c r="E33" s="125"/>
      <x:c r="F33" s="125"/>
      <x:c r="G33" s="125"/>
      <x:c r="H33" s="125"/>
      <x:c r="I33" s="125"/>
      <x:c r="J33" s="125"/>
    </x:row>
    <x:row r="34" ht="28.5" customHeight="1">
      <x:c r="A34" s="125"/>
      <x:c r="B34" s="125"/>
      <x:c r="C34" s="137" t="s">
        <x:v>484</x:v>
      </x:c>
      <x:c r="D34" s="137" t="s">
        <x:v>457</x:v>
      </x:c>
      <x:c r="E34" s="137" t="s">
        <x:v>485</x:v>
      </x:c>
      <x:c r="F34" s="125"/>
      <x:c r="G34" s="125"/>
      <x:c r="H34" s="125"/>
      <x:c r="I34" s="125"/>
      <x:c r="J34" s="125"/>
    </x:row>
    <x:row r="35" ht="69.75" customHeight="1">
      <x:c r="A35" s="125"/>
      <x:c r="B35" s="125"/>
      <x:c r="C35" s="138" t="s">
        <x:v>486</x:v>
      </x:c>
      <x:c r="D35" s="138" t="s">
        <x:v>487</x:v>
      </x:c>
      <x:c r="E35" s="138" t="s">
        <x:v>488</x:v>
      </x:c>
      <x:c r="F35" s="125"/>
      <x:c r="G35" s="125"/>
      <x:c r="H35" s="125"/>
      <x:c r="I35" s="125"/>
      <x:c r="J35" s="125"/>
    </x:row>
    <x:row r="36" ht="69.75" customHeight="1">
      <x:c r="A36" s="125"/>
      <x:c r="B36" s="125"/>
      <x:c r="C36" s="138" t="s">
        <x:v>489</x:v>
      </x:c>
      <x:c r="D36" s="138" t="s">
        <x:v>490</x:v>
      </x:c>
      <x:c r="E36" s="138" t="s">
        <x:v>491</x:v>
      </x:c>
      <x:c r="F36" s="125"/>
      <x:c r="G36" s="125"/>
      <x:c r="H36" s="125"/>
      <x:c r="I36" s="125"/>
      <x:c r="J36" s="125"/>
    </x:row>
    <x:row r="37" ht="69.75" customHeight="1">
      <x:c r="A37" s="125"/>
      <x:c r="B37" s="125"/>
      <x:c r="C37" s="138" t="s">
        <x:v>492</x:v>
      </x:c>
      <x:c r="D37" s="138" t="s">
        <x:v>493</x:v>
      </x:c>
      <x:c r="E37" s="138" t="str">
        <x:v>학습 실험은 완료했으나 이번 서비스에는 미채택. 추가 학습·1000장 평가를 남은 필수 작업으로 잡지 않음.</x:v>
      </x:c>
      <x:c r="F37" s="125"/>
      <x:c r="G37" s="125"/>
      <x:c r="H37" s="125"/>
      <x:c r="I37" s="125"/>
      <x:c r="J37" s="125"/>
    </x:row>
    <x:row r="38" ht="69.75" customHeight="1">
      <x:c r="A38" s="125"/>
      <x:c r="B38" s="125"/>
      <x:c r="C38" s="138" t="s">
        <x:v>494</x:v>
      </x:c>
      <x:c r="D38" s="138" t="s">
        <x:v>495</x:v>
      </x:c>
      <x:c r="E38" s="138" t="s">
        <x:v>496</x:v>
      </x:c>
      <x:c r="F38" s="125"/>
      <x:c r="G38" s="125"/>
      <x:c r="H38" s="125"/>
      <x:c r="I38" s="125"/>
      <x:c r="J38" s="125"/>
    </x:row>
    <x:row r="39" ht="15.75" customHeight="1">
      <x:c r="A39" s="125"/>
      <x:c r="B39" s="125"/>
      <x:c r="C39" s="125"/>
      <x:c r="D39" s="125"/>
      <x:c r="E39" s="125"/>
      <x:c r="F39" s="125"/>
      <x:c r="G39" s="125"/>
      <x:c r="H39" s="125"/>
      <x:c r="I39" s="125"/>
      <x:c r="J39" s="125"/>
    </x:row>
    <x:row r="40" ht="36" customHeight="1">
      <x:c r="A40" s="125" t="s">
        <x:v>497</x:v>
      </x:c>
      <x:c r="B40" s="139" t="str">
        <x:v>자료/코드 확보·실동작 확인·미연결·팀 PC 검증 대기를 구분. 통합 범위14개 중 실동작 확인4개이며 이것을 전체 완료율로 부르지 않음.</x:v>
      </x:c>
      <x:c r="C40" s="125"/>
      <x:c r="D40" s="125"/>
      <x:c r="E40" s="125"/>
      <x:c r="F40" s="125"/>
      <x:c r="G40" s="125"/>
      <x:c r="H40" s="125"/>
      <x:c r="I40" s="125"/>
      <x:c r="J40" s="125"/>
    </x:row>
    <x:row r="41" ht="36" customHeight="1">
      <x:c r="A41" s="125" t="s">
        <x:v>498</x:v>
      </x:c>
      <x:c r="B41" s="139" t="str">
        <x:v>로컬 커밋 4a7ef50 + 현재 README/평가 근거. 7일 창(10/20~26) 중 구현5일(20~24) 유지. 25일 여유, 제출 26일10시. 원격 미푸시.</x:v>
      </x:c>
      <x:c r="C41" s="125"/>
      <x:c r="D41" s="125"/>
      <x:c r="E41" s="125"/>
      <x:c r="F41" s="125"/>
      <x:c r="G41" s="125"/>
      <x:c r="H41" s="125"/>
      <x:c r="I41" s="125"/>
      <x:c r="J41" s="125"/>
    </x:row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conditionalFormatting sqref="D8:D21">
    <x:cfRule type="containsText" dxfId="0" priority="1" operator="containsText" text="미연결">
      <x:formula>NOT(ISERROR(SEARCH(("미연결"),(D8))))</x:formula>
    </x:cfRule>
    <x:cfRule type="expression" dxfId="4" priority="7">
      <x:formula>D8="실동작 확인"</x:formula>
    </x:cfRule>
  </x:conditionalFormatting>
  <x:conditionalFormatting sqref="D8:D21">
    <x:cfRule type="containsText" dxfId="1" priority="2" operator="containsText" text="검증 대기">
      <x:formula>NOT(ISERROR(SEARCH(("검증 대기"),(D8))))</x:formula>
    </x:cfRule>
  </x:conditionalFormatting>
  <x:conditionalFormatting sqref="D8:D21">
    <x:cfRule type="containsText" dxfId="2" priority="3" operator="containsText" text="로컬 시험">
      <x:formula>NOT(ISERROR(SEARCH(("로컬 시험"),(D8))))</x:formula>
    </x:cfRule>
  </x:conditionalFormatting>
  <x:conditionalFormatting sqref="D8:D21">
    <x:cfRule type="containsText" dxfId="1" priority="4" operator="containsText" text="Git 일부">
      <x:formula>NOT(ISERROR(SEARCH(("Git 일부"),(D8))))</x:formula>
    </x:cfRule>
  </x:conditionalFormatting>
  <x:conditionalFormatting sqref="D8:D21">
    <x:cfRule type="containsText" dxfId="3" priority="5" operator="containsText" text="실동작 확인">
      <x:formula>NOT(ISERROR(SEARCH(("실동작 확인"),(D8))))</x:formula>
    </x:cfRule>
  </x:conditionalFormatting>
  <x:conditionalFormatting sqref="I8:I21">
    <x:cfRule type="containsText" dxfId="1" priority="6" operator="containsText" text="조건부">
      <x:formula>NOT(ISERROR(SEARCH(("조건부"),(I8))))</x:formula>
    </x:cfRule>
  </x:conditionalFormatting>
  <x:dataValidations count="1">
    <x:dataValidation type="list" allowBlank="1" sqref="D8:D21">
      <x:formula1>"Git 코드,Git 자료,Git 일부,로컬 시험,미연결,검증 대기,실동작 확인"</x:formula1>
    </x:dataValidation>
  </x:dataValidations>
  <x:pageMargins left="0.7" right="0.7" top="0.75" bottom="0.75" header="0.3" footer="0.3"/>
</x:worksheet>
</file>