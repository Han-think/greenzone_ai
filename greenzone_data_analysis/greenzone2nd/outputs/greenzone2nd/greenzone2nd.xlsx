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" sheetId="1" state="visible" r:id="rId3"/>
    <sheet name="거점" sheetId="2" state="visible" r:id="rId4"/>
    <sheet name="1차 후보 연결" sheetId="3" state="visible" r:id="rId5"/>
    <sheet name="대안 지점" sheetId="4" state="visible" r:id="rId6"/>
    <sheet name="안 비교" sheetId="5" state="visible" r:id="rId7"/>
    <sheet name="Louvain 민감도" sheetId="6" state="visible" r:id="rId8"/>
    <sheet name="세대 정제" sheetId="7" state="visible" r:id="rId9"/>
    <sheet name="가정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<sst xmlns="http://schemas.openxmlformats.org/spreadsheetml/2006/main" count="378" uniqueCount="258">
  <si>
    <r>
      <rPr>
        <b val="true"/>
        <sz val="14"/>
        <color rgb="FF1B6B4A"/>
        <rFont val="Noto Sans CJK SC"/>
        <family val="2"/>
      </rPr>
      <t xml:space="preserve">그린존 </t>
    </r>
    <r>
      <rPr>
        <b val="true"/>
        <sz val="14"/>
        <color rgb="FF1B6B4A"/>
        <rFont val="맑은 고딕"/>
        <family val="0"/>
        <charset val="1"/>
      </rPr>
      <t xml:space="preserve">2</t>
    </r>
    <r>
      <rPr>
        <b val="true"/>
        <sz val="14"/>
        <color rgb="FF1B6B4A"/>
        <rFont val="Noto Sans CJK SC"/>
        <family val="2"/>
      </rPr>
      <t xml:space="preserve">차</t>
    </r>
    <r>
      <rPr>
        <b val="true"/>
        <sz val="14"/>
        <color rgb="FF1B6B4A"/>
        <rFont val="맑은 고딕"/>
        <family val="0"/>
        <charset val="1"/>
      </rPr>
      <t xml:space="preserve">: </t>
    </r>
    <r>
      <rPr>
        <b val="true"/>
        <sz val="14"/>
        <color rgb="FF1B6B4A"/>
        <rFont val="Noto Sans CJK SC"/>
        <family val="2"/>
      </rPr>
      <t xml:space="preserve">도로 생활권</t>
    </r>
    <r>
      <rPr>
        <b val="true"/>
        <sz val="14"/>
        <color rgb="FF1B6B4A"/>
        <rFont val="맑은 고딕"/>
        <family val="0"/>
        <charset val="1"/>
      </rPr>
      <t xml:space="preserve">(Louvain) </t>
    </r>
    <r>
      <rPr>
        <b val="true"/>
        <sz val="14"/>
        <color rgb="FF1B6B4A"/>
        <rFont val="Noto Sans CJK SC"/>
        <family val="2"/>
      </rPr>
      <t xml:space="preserve">기반 거점 배치</t>
    </r>
  </si>
  <si>
    <t xml:space="preserve">대상</t>
  </si>
  <si>
    <r>
      <rPr>
        <sz val="10"/>
        <rFont val="Noto Sans CJK SC"/>
        <family val="2"/>
      </rPr>
      <t xml:space="preserve">신월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동 아파트 외 주거 </t>
    </r>
    <r>
      <rPr>
        <sz val="10"/>
        <rFont val="맑은 고딕"/>
        <family val="0"/>
        <charset val="1"/>
      </rPr>
      <t xml:space="preserve">1,585</t>
    </r>
    <r>
      <rPr>
        <sz val="10"/>
        <rFont val="Noto Sans CJK SC"/>
        <family val="2"/>
      </rPr>
      <t xml:space="preserve">필지 </t>
    </r>
    <r>
      <rPr>
        <sz val="10"/>
        <rFont val="맑은 고딕"/>
        <family val="0"/>
        <charset val="1"/>
      </rPr>
      <t xml:space="preserve">· 7,193</t>
    </r>
    <r>
      <rPr>
        <sz val="10"/>
        <rFont val="Noto Sans CJK SC"/>
        <family val="2"/>
      </rPr>
      <t xml:space="preserve">세대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건축물대장 표제부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</si>
  <si>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생활권 수 </t>
    </r>
    <r>
      <rPr>
        <b val="true"/>
        <sz val="10"/>
        <rFont val="맑은 고딕"/>
        <family val="0"/>
        <charset val="1"/>
      </rPr>
      <t xml:space="preserve">= </t>
    </r>
    <r>
      <rPr>
        <b val="true"/>
        <sz val="10"/>
        <rFont val="Noto Sans CJK SC"/>
        <family val="2"/>
      </rPr>
      <t xml:space="preserve">거점 수</t>
    </r>
  </si>
  <si>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곳 </t>
    </r>
    <r>
      <rPr>
        <sz val="10"/>
        <rFont val="맑은 고딕"/>
        <family val="0"/>
        <charset val="1"/>
      </rPr>
      <t xml:space="preserve">(Louvain, </t>
    </r>
    <r>
      <rPr>
        <sz val="10"/>
        <rFont val="Noto Sans CJK SC"/>
        <family val="2"/>
      </rPr>
      <t xml:space="preserve">연결 반경 </t>
    </r>
    <r>
      <rPr>
        <sz val="10"/>
        <rFont val="맑은 고딕"/>
        <family val="0"/>
        <charset val="1"/>
      </rPr>
      <t xml:space="preserve">150m, γ 1, modularity 0.775)</t>
    </r>
  </si>
  <si>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차 후보로 정한 거점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</si>
  <si>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곳</t>
    </r>
    <r>
      <rPr>
        <sz val="10"/>
        <rFont val="맑은 고딕"/>
        <family val="0"/>
        <charset val="1"/>
      </rPr>
      <t xml:space="preserve">: 6</t>
    </r>
    <r>
      <rPr>
        <sz val="10"/>
        <rFont val="Noto Sans CJK SC"/>
        <family val="2"/>
      </rPr>
      <t xml:space="preserve">번 양천구푸드뱅크마켓 신월점 및 </t>
    </r>
    <r>
      <rPr>
        <sz val="10"/>
        <rFont val="맑은 고딕"/>
        <family val="0"/>
        <charset val="1"/>
      </rPr>
      <t xml:space="preserve">50</t>
    </r>
    <r>
      <rPr>
        <sz val="10"/>
        <rFont val="Noto Sans CJK SC"/>
        <family val="2"/>
      </rPr>
      <t xml:space="preserve">스타트센터</t>
    </r>
    <r>
      <rPr>
        <sz val="10"/>
        <rFont val="맑은 고딕"/>
        <family val="0"/>
        <charset val="1"/>
      </rPr>
      <t xml:space="preserve">, 1</t>
    </r>
    <r>
      <rPr>
        <sz val="10"/>
        <rFont val="Noto Sans CJK SC"/>
        <family val="2"/>
      </rPr>
      <t xml:space="preserve">번 곰달래 공영주차장</t>
    </r>
    <r>
      <rPr>
        <sz val="10"/>
        <rFont val="맑은 고딕"/>
        <family val="0"/>
        <charset val="1"/>
      </rPr>
      <t xml:space="preserve">, 3</t>
    </r>
    <r>
      <rPr>
        <sz val="10"/>
        <rFont val="Noto Sans CJK SC"/>
        <family val="2"/>
      </rPr>
      <t xml:space="preserve">번 신영시장 공영주차장</t>
    </r>
    <r>
      <rPr>
        <sz val="10"/>
        <rFont val="맑은 고딕"/>
        <family val="0"/>
        <charset val="1"/>
      </rPr>
      <t xml:space="preserve">, 5</t>
    </r>
    <r>
      <rPr>
        <sz val="10"/>
        <rFont val="Noto Sans CJK SC"/>
        <family val="2"/>
      </rPr>
      <t xml:space="preserve">번 신월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동독서실ㆍ파출소</t>
    </r>
    <r>
      <rPr>
        <sz val="10"/>
        <rFont val="맑은 고딕"/>
        <family val="0"/>
        <charset val="1"/>
      </rPr>
      <t xml:space="preserve">, 7</t>
    </r>
    <r>
      <rPr>
        <sz val="10"/>
        <rFont val="Noto Sans CJK SC"/>
        <family val="2"/>
      </rPr>
      <t xml:space="preserve">번 곰달래로</t>
    </r>
    <r>
      <rPr>
        <sz val="10"/>
        <rFont val="맑은 고딕"/>
        <family val="0"/>
        <charset val="1"/>
      </rPr>
      <t xml:space="preserve">13</t>
    </r>
    <r>
      <rPr>
        <sz val="10"/>
        <rFont val="Noto Sans CJK SC"/>
        <family val="2"/>
      </rPr>
      <t xml:space="preserve">길 도로변 공터</t>
    </r>
    <r>
      <rPr>
        <sz val="10"/>
        <rFont val="맑은 고딕"/>
        <family val="0"/>
        <charset val="1"/>
      </rPr>
      <t xml:space="preserve">, 10</t>
    </r>
    <r>
      <rPr>
        <sz val="10"/>
        <rFont val="Noto Sans CJK SC"/>
        <family val="2"/>
      </rPr>
      <t xml:space="preserve">번 곰달래로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길 도로변 공터</t>
    </r>
  </si>
  <si>
    <r>
      <rPr>
        <b val="true"/>
        <sz val="10"/>
        <rFont val="Noto Sans CJK SC"/>
        <family val="2"/>
      </rPr>
      <t xml:space="preserve">대안 지점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실사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</si>
  <si>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곳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생활권 </t>
    </r>
    <r>
      <rPr>
        <sz val="10"/>
        <rFont val="맑은 고딕"/>
        <family val="0"/>
        <charset val="1"/>
      </rPr>
      <t xml:space="preserve">4, 6, 7 (</t>
    </r>
    <r>
      <rPr>
        <sz val="10"/>
        <rFont val="Noto Sans CJK SC"/>
        <family val="2"/>
      </rPr>
      <t xml:space="preserve">각 </t>
    </r>
    <r>
      <rPr>
        <sz val="10"/>
        <rFont val="맑은 고딕"/>
        <family val="0"/>
        <charset val="1"/>
      </rPr>
      <t xml:space="preserve">1~3</t>
    </r>
    <r>
      <rPr>
        <sz val="10"/>
        <rFont val="Noto Sans CJK SC"/>
        <family val="2"/>
      </rPr>
      <t xml:space="preserve">순위</t>
    </r>
    <r>
      <rPr>
        <sz val="10"/>
        <rFont val="맑은 고딕"/>
        <family val="0"/>
        <charset val="1"/>
      </rPr>
      <t xml:space="preserve">, '</t>
    </r>
    <r>
      <rPr>
        <sz val="10"/>
        <rFont val="Noto Sans CJK SC"/>
        <family val="2"/>
      </rPr>
      <t xml:space="preserve">대안 지점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시트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</si>
  <si>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예비 </t>
    </r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차 후보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</si>
  <si>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번</t>
    </r>
    <r>
      <rPr>
        <sz val="10"/>
        <rFont val="맑은 고딕"/>
        <family val="0"/>
        <charset val="1"/>
      </rPr>
      <t xml:space="preserve">, 4</t>
    </r>
    <r>
      <rPr>
        <sz val="10"/>
        <rFont val="Noto Sans CJK SC"/>
        <family val="2"/>
      </rPr>
      <t xml:space="preserve">번</t>
    </r>
    <r>
      <rPr>
        <sz val="10"/>
        <rFont val="맑은 고딕"/>
        <family val="0"/>
        <charset val="1"/>
      </rPr>
      <t xml:space="preserve">, 8</t>
    </r>
    <r>
      <rPr>
        <sz val="10"/>
        <rFont val="Noto Sans CJK SC"/>
        <family val="2"/>
      </rPr>
      <t xml:space="preserve">번</t>
    </r>
    <r>
      <rPr>
        <sz val="10"/>
        <rFont val="맑은 고딕"/>
        <family val="0"/>
        <charset val="1"/>
      </rPr>
      <t xml:space="preserve">, 9</t>
    </r>
    <r>
      <rPr>
        <sz val="10"/>
        <rFont val="Noto Sans CJK SC"/>
        <family val="2"/>
      </rPr>
      <t xml:space="preserve">번</t>
    </r>
    <r>
      <rPr>
        <sz val="10"/>
        <rFont val="맑은 고딕"/>
        <family val="0"/>
        <charset val="1"/>
      </rPr>
      <t xml:space="preserve">, 11</t>
    </r>
    <r>
      <rPr>
        <sz val="10"/>
        <rFont val="Noto Sans CJK SC"/>
        <family val="2"/>
      </rPr>
      <t xml:space="preserve">번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같은 생활권에 더 나은 후보가 있음</t>
    </r>
    <r>
      <rPr>
        <sz val="10"/>
        <rFont val="맑은 고딕"/>
        <family val="0"/>
        <charset val="1"/>
      </rPr>
      <t xml:space="preserve">)</t>
    </r>
  </si>
  <si>
    <t xml:space="preserve">평균 보행거리</t>
  </si>
  <si>
    <r>
      <rPr>
        <sz val="10"/>
        <rFont val="맑은 고딕"/>
        <family val="0"/>
        <charset val="1"/>
      </rPr>
      <t xml:space="preserve">173m (</t>
    </r>
    <r>
      <rPr>
        <sz val="10"/>
        <rFont val="Noto Sans CJK SC"/>
        <family val="2"/>
      </rPr>
      <t xml:space="preserve">가장 가까운 거점 이용 시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</si>
  <si>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맑은 고딕"/>
        <family val="0"/>
        <charset val="1"/>
      </rPr>
      <t xml:space="preserve">300m </t>
    </r>
    <r>
      <rPr>
        <b val="true"/>
        <sz val="10"/>
        <rFont val="Noto Sans CJK SC"/>
        <family val="2"/>
      </rPr>
      <t xml:space="preserve">안 세대</t>
    </r>
  </si>
  <si>
    <r>
      <rPr>
        <sz val="10"/>
        <rFont val="맑은 고딕"/>
        <family val="0"/>
        <charset val="1"/>
      </rPr>
      <t xml:space="preserve">95% · 400m </t>
    </r>
    <r>
      <rPr>
        <sz val="10"/>
        <rFont val="Noto Sans CJK SC"/>
        <family val="2"/>
      </rPr>
      <t xml:space="preserve">안 </t>
    </r>
    <r>
      <rPr>
        <sz val="10"/>
        <rFont val="맑은 고딕"/>
        <family val="0"/>
        <charset val="1"/>
      </rPr>
      <t xml:space="preserve">100%</t>
    </r>
  </si>
  <si>
    <t xml:space="preserve">수거 순회 거리</t>
  </si>
  <si>
    <r>
      <rPr>
        <sz val="10"/>
        <rFont val="맑은 고딕"/>
        <family val="0"/>
        <charset val="1"/>
      </rPr>
      <t xml:space="preserve">3.2km (</t>
    </r>
    <r>
      <rPr>
        <sz val="10"/>
        <rFont val="Noto Sans CJK SC"/>
        <family val="2"/>
      </rPr>
      <t xml:space="preserve">거점 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곳 한 바퀴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도로 기준</t>
    </r>
    <r>
      <rPr>
        <sz val="10"/>
        <rFont val="맑은 고딕"/>
        <family val="0"/>
        <charset val="1"/>
      </rPr>
      <t xml:space="preserve">)</t>
    </r>
  </si>
  <si>
    <t xml:space="preserve">시트 안내</t>
  </si>
  <si>
    <t xml:space="preserve">거점</t>
  </si>
  <si>
    <r>
      <rPr>
        <sz val="10"/>
        <rFont val="Noto Sans CJK SC"/>
        <family val="2"/>
      </rPr>
      <t xml:space="preserve">생활권별 거점 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곳과 보행 접근성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담당 세대</t>
    </r>
  </si>
  <si>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차 후보 연결</t>
    </r>
  </si>
  <si>
    <r>
      <rPr>
        <sz val="10"/>
        <rFont val="맑은 고딕"/>
        <family val="0"/>
        <charset val="1"/>
      </rPr>
      <t xml:space="preserve">11</t>
    </r>
    <r>
      <rPr>
        <sz val="10"/>
        <rFont val="Noto Sans CJK SC"/>
        <family val="2"/>
      </rPr>
      <t xml:space="preserve">곳이 어느 생활권에 속하고 거점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예비 중 무엇인지</t>
    </r>
  </si>
  <si>
    <t xml:space="preserve">대안 지점</t>
  </si>
  <si>
    <r>
      <rPr>
        <sz val="10"/>
        <rFont val="Noto Sans CJK SC"/>
        <family val="2"/>
      </rPr>
      <t xml:space="preserve">후보가 없는 생활권의 실사 대상 </t>
    </r>
    <r>
      <rPr>
        <sz val="10"/>
        <rFont val="맑은 고딕"/>
        <family val="0"/>
        <charset val="1"/>
      </rPr>
      <t xml:space="preserve">1~3</t>
    </r>
    <r>
      <rPr>
        <sz val="10"/>
        <rFont val="Noto Sans CJK SC"/>
        <family val="2"/>
      </rPr>
      <t xml:space="preserve">순위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후보가 있는 생활권의 최적 도로 지점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참고</t>
    </r>
    <r>
      <rPr>
        <sz val="10"/>
        <rFont val="맑은 고딕"/>
        <family val="0"/>
        <charset val="1"/>
      </rPr>
      <t xml:space="preserve">)</t>
    </r>
  </si>
  <si>
    <t xml:space="preserve">안 비교</t>
  </si>
  <si>
    <r>
      <rPr>
        <sz val="10"/>
        <rFont val="Noto Sans CJK SC"/>
        <family val="2"/>
      </rPr>
      <t xml:space="preserve">생활권 거점 </t>
    </r>
    <r>
      <rPr>
        <sz val="10"/>
        <rFont val="맑은 고딕"/>
        <family val="0"/>
        <charset val="1"/>
      </rPr>
      <t xml:space="preserve">vs 1</t>
    </r>
    <r>
      <rPr>
        <sz val="10"/>
        <rFont val="Noto Sans CJK SC"/>
        <family val="2"/>
      </rPr>
      <t xml:space="preserve">차 후보만</t>
    </r>
  </si>
  <si>
    <r>
      <rPr>
        <b val="true"/>
        <sz val="10"/>
        <rFont val="맑은 고딕"/>
        <family val="0"/>
        <charset val="1"/>
      </rPr>
      <t xml:space="preserve">Louvain </t>
    </r>
    <r>
      <rPr>
        <b val="true"/>
        <sz val="10"/>
        <rFont val="Noto Sans CJK SC"/>
        <family val="2"/>
      </rPr>
      <t xml:space="preserve">민감도</t>
    </r>
  </si>
  <si>
    <t xml:space="preserve">설정값별 생활권 수</t>
  </si>
  <si>
    <t xml:space="preserve">세대 정제</t>
  </si>
  <si>
    <t xml:space="preserve">표제부 → 세대 필지 정제 과정</t>
  </si>
  <si>
    <t xml:space="preserve">가정</t>
  </si>
  <si>
    <t xml:space="preserve">바꿀 수 있는 기준값</t>
  </si>
  <si>
    <r>
      <rPr>
        <b val="true"/>
        <sz val="13"/>
        <color rgb="FF1B6B4A"/>
        <rFont val="Noto Sans CJK SC"/>
        <family val="2"/>
      </rPr>
      <t xml:space="preserve">생활권별 거점 </t>
    </r>
    <r>
      <rPr>
        <b val="true"/>
        <sz val="13"/>
        <color rgb="FF1B6B4A"/>
        <rFont val="맑은 고딕"/>
        <family val="0"/>
        <charset val="1"/>
      </rPr>
      <t xml:space="preserve">9</t>
    </r>
    <r>
      <rPr>
        <b val="true"/>
        <sz val="13"/>
        <color rgb="FF1B6B4A"/>
        <rFont val="Noto Sans CJK SC"/>
        <family val="2"/>
      </rPr>
      <t xml:space="preserve">곳</t>
    </r>
  </si>
  <si>
    <r>
      <rPr>
        <sz val="9"/>
        <color rgb="FF666666"/>
        <rFont val="Noto Sans CJK SC"/>
        <family val="2"/>
      </rPr>
      <t xml:space="preserve">보행거리는 </t>
    </r>
    <r>
      <rPr>
        <sz val="9"/>
        <color rgb="FF666666"/>
        <rFont val="맑은 고딕"/>
        <family val="0"/>
        <charset val="1"/>
      </rPr>
      <t xml:space="preserve">'</t>
    </r>
    <r>
      <rPr>
        <sz val="9"/>
        <color rgb="FF666666"/>
        <rFont val="Noto Sans CJK SC"/>
        <family val="2"/>
      </rPr>
      <t xml:space="preserve">자기 생활권 거점</t>
    </r>
    <r>
      <rPr>
        <sz val="9"/>
        <color rgb="FF666666"/>
        <rFont val="맑은 고딕"/>
        <family val="0"/>
        <charset val="1"/>
      </rPr>
      <t xml:space="preserve">'</t>
    </r>
    <r>
      <rPr>
        <sz val="9"/>
        <color rgb="FF666666"/>
        <rFont val="Noto Sans CJK SC"/>
        <family val="2"/>
      </rPr>
      <t xml:space="preserve">까지 도로 기준</t>
    </r>
    <r>
      <rPr>
        <sz val="9"/>
        <color rgb="FF666666"/>
        <rFont val="맑은 고딕"/>
        <family val="0"/>
        <charset val="1"/>
      </rPr>
      <t xml:space="preserve">. </t>
    </r>
    <r>
      <rPr>
        <sz val="9"/>
        <color rgb="FF666666"/>
        <rFont val="Noto Sans CJK SC"/>
        <family val="2"/>
      </rPr>
      <t xml:space="preserve">초록 </t>
    </r>
    <r>
      <rPr>
        <sz val="9"/>
        <color rgb="FF666666"/>
        <rFont val="맑은 고딕"/>
        <family val="0"/>
        <charset val="1"/>
      </rPr>
      <t xml:space="preserve">= 1</t>
    </r>
    <r>
      <rPr>
        <sz val="9"/>
        <color rgb="FF666666"/>
        <rFont val="Noto Sans CJK SC"/>
        <family val="2"/>
      </rPr>
      <t xml:space="preserve">차 후보</t>
    </r>
    <r>
      <rPr>
        <sz val="9"/>
        <color rgb="FF666666"/>
        <rFont val="맑은 고딕"/>
        <family val="0"/>
        <charset val="1"/>
      </rPr>
      <t xml:space="preserve">, </t>
    </r>
    <r>
      <rPr>
        <sz val="9"/>
        <color rgb="FF666666"/>
        <rFont val="Noto Sans CJK SC"/>
        <family val="2"/>
      </rPr>
      <t xml:space="preserve">주황 </t>
    </r>
    <r>
      <rPr>
        <sz val="9"/>
        <color rgb="FF666666"/>
        <rFont val="맑은 고딕"/>
        <family val="0"/>
        <charset val="1"/>
      </rPr>
      <t xml:space="preserve">= </t>
    </r>
    <r>
      <rPr>
        <sz val="9"/>
        <color rgb="FF666666"/>
        <rFont val="Noto Sans CJK SC"/>
        <family val="2"/>
      </rPr>
      <t xml:space="preserve">대안 지점</t>
    </r>
    <r>
      <rPr>
        <sz val="9"/>
        <color rgb="FF666666"/>
        <rFont val="맑은 고딕"/>
        <family val="0"/>
        <charset val="1"/>
      </rPr>
      <t xml:space="preserve">(</t>
    </r>
    <r>
      <rPr>
        <sz val="9"/>
        <color rgb="FF666666"/>
        <rFont val="Noto Sans CJK SC"/>
        <family val="2"/>
      </rPr>
      <t xml:space="preserve">실사 필요</t>
    </r>
    <r>
      <rPr>
        <sz val="9"/>
        <color rgb="FF666666"/>
        <rFont val="맑은 고딕"/>
        <family val="0"/>
        <charset val="1"/>
      </rPr>
      <t xml:space="preserve">)</t>
    </r>
  </si>
  <si>
    <t xml:space="preserve">생활권</t>
  </si>
  <si>
    <r>
      <rPr>
        <b val="true"/>
        <sz val="10"/>
        <color rgb="FFFFFFFF"/>
        <rFont val="Noto Sans CJK SC"/>
        <family val="2"/>
      </rPr>
      <t xml:space="preserve">거점</t>
    </r>
    <r>
      <rPr>
        <b val="true"/>
        <sz val="10"/>
        <color rgb="FFFFFFFF"/>
        <rFont val="맑은 고딕"/>
        <family val="0"/>
        <charset val="1"/>
      </rPr>
      <t xml:space="preserve">id</t>
    </r>
  </si>
  <si>
    <t xml:space="preserve">구분</t>
  </si>
  <si>
    <t xml:space="preserve">이름</t>
  </si>
  <si>
    <r>
      <rPr>
        <b val="true"/>
        <sz val="10"/>
        <color rgb="FFFFFFFF"/>
        <rFont val="Noto Sans CJK SC"/>
        <family val="2"/>
      </rPr>
      <t xml:space="preserve">생활권안</t>
    </r>
    <r>
      <rPr>
        <b val="true"/>
        <sz val="10"/>
        <color rgb="FFFFFFFF"/>
        <rFont val="맑은 고딕"/>
        <family val="0"/>
        <charset val="1"/>
      </rPr>
      <t xml:space="preserve">_1</t>
    </r>
    <r>
      <rPr>
        <b val="true"/>
        <sz val="10"/>
        <color rgb="FFFFFFFF"/>
        <rFont val="Noto Sans CJK SC"/>
        <family val="2"/>
      </rPr>
      <t xml:space="preserve">차후보</t>
    </r>
  </si>
  <si>
    <t xml:space="preserve">담당세대</t>
  </si>
  <si>
    <t xml:space="preserve">담당필지</t>
  </si>
  <si>
    <r>
      <rPr>
        <b val="true"/>
        <sz val="10"/>
        <color rgb="FFFFFFFF"/>
        <rFont val="Noto Sans CJK SC"/>
        <family val="2"/>
      </rPr>
      <t xml:space="preserve">평균보행</t>
    </r>
    <r>
      <rPr>
        <b val="true"/>
        <sz val="10"/>
        <color rgb="FFFFFFFF"/>
        <rFont val="맑은 고딕"/>
        <family val="0"/>
        <charset val="1"/>
      </rPr>
      <t xml:space="preserve">_m</t>
    </r>
  </si>
  <si>
    <r>
      <rPr>
        <b val="true"/>
        <sz val="10"/>
        <color rgb="FFFFFFFF"/>
        <rFont val="Noto Sans CJK SC"/>
        <family val="2"/>
      </rPr>
      <t xml:space="preserve">세대</t>
    </r>
    <r>
      <rPr>
        <b val="true"/>
        <sz val="10"/>
        <color rgb="FFFFFFFF"/>
        <rFont val="맑은 고딕"/>
        <family val="0"/>
        <charset val="1"/>
      </rPr>
      <t xml:space="preserve">90%_m</t>
    </r>
  </si>
  <si>
    <r>
      <rPr>
        <b val="true"/>
        <sz val="10"/>
        <color rgb="FFFFFFFF"/>
        <rFont val="Noto Sans CJK SC"/>
        <family val="2"/>
      </rPr>
      <t xml:space="preserve">최대보행</t>
    </r>
    <r>
      <rPr>
        <b val="true"/>
        <sz val="10"/>
        <color rgb="FFFFFFFF"/>
        <rFont val="맑은 고딕"/>
        <family val="0"/>
        <charset val="1"/>
      </rPr>
      <t xml:space="preserve">_m</t>
    </r>
  </si>
  <si>
    <r>
      <rPr>
        <b val="true"/>
        <sz val="10"/>
        <color rgb="FFFFFFFF"/>
        <rFont val="맑은 고딕"/>
        <family val="0"/>
        <charset val="1"/>
      </rPr>
      <t xml:space="preserve">200m</t>
    </r>
    <r>
      <rPr>
        <b val="true"/>
        <sz val="10"/>
        <color rgb="FFFFFFFF"/>
        <rFont val="Noto Sans CJK SC"/>
        <family val="2"/>
      </rPr>
      <t xml:space="preserve">안</t>
    </r>
  </si>
  <si>
    <r>
      <rPr>
        <b val="true"/>
        <sz val="10"/>
        <color rgb="FFFFFFFF"/>
        <rFont val="맑은 고딕"/>
        <family val="0"/>
        <charset val="1"/>
      </rPr>
      <t xml:space="preserve">300m</t>
    </r>
    <r>
      <rPr>
        <b val="true"/>
        <sz val="10"/>
        <color rgb="FFFFFFFF"/>
        <rFont val="Noto Sans CJK SC"/>
        <family val="2"/>
      </rPr>
      <t xml:space="preserve">안</t>
    </r>
  </si>
  <si>
    <r>
      <rPr>
        <b val="true"/>
        <sz val="10"/>
        <color rgb="FFFFFFFF"/>
        <rFont val="맑은 고딕"/>
        <family val="0"/>
        <charset val="1"/>
      </rPr>
      <t xml:space="preserve">400m</t>
    </r>
    <r>
      <rPr>
        <b val="true"/>
        <sz val="10"/>
        <color rgb="FFFFFFFF"/>
        <rFont val="Noto Sans CJK SC"/>
        <family val="2"/>
      </rPr>
      <t xml:space="preserve">안</t>
    </r>
  </si>
  <si>
    <t xml:space="preserve">접한도로</t>
  </si>
  <si>
    <r>
      <rPr>
        <b val="true"/>
        <sz val="10"/>
        <color rgb="FFFFFFFF"/>
        <rFont val="Noto Sans CJK SC"/>
        <family val="2"/>
      </rPr>
      <t xml:space="preserve">도로폭</t>
    </r>
    <r>
      <rPr>
        <b val="true"/>
        <sz val="10"/>
        <color rgb="FFFFFFFF"/>
        <rFont val="맑은 고딕"/>
        <family val="0"/>
        <charset val="1"/>
      </rPr>
      <t xml:space="preserve">_m</t>
    </r>
  </si>
  <si>
    <r>
      <rPr>
        <b val="true"/>
        <sz val="10"/>
        <color rgb="FFFFFFFF"/>
        <rFont val="Noto Sans CJK SC"/>
        <family val="2"/>
      </rPr>
      <t xml:space="preserve">도로폭</t>
    </r>
    <r>
      <rPr>
        <b val="true"/>
        <sz val="10"/>
        <color rgb="FFFFFFFF"/>
        <rFont val="맑은 고딕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기준</t>
    </r>
  </si>
  <si>
    <r>
      <rPr>
        <b val="true"/>
        <sz val="10"/>
        <color rgb="FFFFFFFF"/>
        <rFont val="Noto Sans CJK SC"/>
        <family val="2"/>
      </rPr>
      <t xml:space="preserve">보호시설까지</t>
    </r>
    <r>
      <rPr>
        <b val="true"/>
        <sz val="10"/>
        <color rgb="FFFFFFFF"/>
        <rFont val="맑은 고딕"/>
        <family val="0"/>
        <charset val="1"/>
      </rPr>
      <t xml:space="preserve">_m</t>
    </r>
  </si>
  <si>
    <r>
      <rPr>
        <b val="true"/>
        <sz val="10"/>
        <color rgb="FFFFFFFF"/>
        <rFont val="Noto Sans CJK SC"/>
        <family val="2"/>
      </rPr>
      <t xml:space="preserve">생활권</t>
    </r>
    <r>
      <rPr>
        <b val="true"/>
        <sz val="10"/>
        <color rgb="FFFFFFFF"/>
        <rFont val="맑은 고딕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최적도로지점</t>
    </r>
    <r>
      <rPr>
        <b val="true"/>
        <sz val="10"/>
        <color rgb="FFFFFFFF"/>
        <rFont val="맑은 고딕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평균보행</t>
    </r>
    <r>
      <rPr>
        <b val="true"/>
        <sz val="10"/>
        <color rgb="FFFFFFFF"/>
        <rFont val="맑은 고딕"/>
        <family val="0"/>
        <charset val="1"/>
      </rPr>
      <t xml:space="preserve">_m</t>
    </r>
  </si>
  <si>
    <t xml:space="preserve">실사필요</t>
  </si>
  <si>
    <t xml:space="preserve">위도</t>
  </si>
  <si>
    <t xml:space="preserve">경도</t>
  </si>
  <si>
    <t xml:space="preserve">G06</t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</si>
  <si>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차 후보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</si>
  <si>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번 양천구푸드뱅크마켓 신월점 및 </t>
    </r>
    <r>
      <rPr>
        <sz val="10"/>
        <rFont val="맑은 고딕"/>
        <family val="0"/>
        <charset val="1"/>
      </rPr>
      <t xml:space="preserve">50</t>
    </r>
    <r>
      <rPr>
        <sz val="10"/>
        <rFont val="Noto Sans CJK SC"/>
        <family val="2"/>
      </rPr>
      <t xml:space="preserve">스타트센터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</si>
  <si>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번</t>
    </r>
    <r>
      <rPr>
        <sz val="10"/>
        <rFont val="맑은 고딕"/>
        <family val="0"/>
        <charset val="1"/>
      </rPr>
      <t xml:space="preserve">, 6</t>
    </r>
    <r>
      <rPr>
        <sz val="10"/>
        <rFont val="Noto Sans CJK SC"/>
        <family val="2"/>
      </rPr>
      <t xml:space="preserve">번</t>
    </r>
  </si>
  <si>
    <r>
      <rPr>
        <sz val="10"/>
        <rFont val="Noto Sans CJK SC"/>
        <family val="2"/>
      </rPr>
      <t xml:space="preserve">곰달래로</t>
    </r>
    <r>
      <rPr>
        <sz val="10"/>
        <rFont val="맑은 고딕"/>
        <family val="0"/>
        <charset val="1"/>
      </rPr>
      <t xml:space="preserve">13</t>
    </r>
    <r>
      <rPr>
        <sz val="10"/>
        <rFont val="Noto Sans CJK SC"/>
        <family val="2"/>
      </rPr>
      <t xml:space="preserve">길</t>
    </r>
  </si>
  <si>
    <r>
      <rPr>
        <sz val="10"/>
        <rFont val="Noto Sans CJK SC"/>
        <family val="2"/>
      </rPr>
      <t xml:space="preserve">유효폭</t>
    </r>
    <r>
      <rPr>
        <sz val="10"/>
        <rFont val="맑은 고딕"/>
        <family val="0"/>
        <charset val="1"/>
      </rPr>
      <t xml:space="preserve">(1</t>
    </r>
    <r>
      <rPr>
        <sz val="10"/>
        <rFont val="Noto Sans CJK SC"/>
        <family val="2"/>
      </rPr>
      <t xml:space="preserve">차</t>
    </r>
    <r>
      <rPr>
        <sz val="10"/>
        <rFont val="맑은 고딕"/>
        <family val="0"/>
        <charset val="1"/>
      </rPr>
      <t xml:space="preserve">)</t>
    </r>
  </si>
  <si>
    <t xml:space="preserve">G01</t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</si>
  <si>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번 곰달래 공영주차장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</si>
  <si>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번</t>
    </r>
    <r>
      <rPr>
        <sz val="10"/>
        <rFont val="맑은 고딕"/>
        <family val="0"/>
        <charset val="1"/>
      </rPr>
      <t xml:space="preserve">, 8</t>
    </r>
    <r>
      <rPr>
        <sz val="10"/>
        <rFont val="Noto Sans CJK SC"/>
        <family val="2"/>
      </rPr>
      <t xml:space="preserve">번</t>
    </r>
  </si>
  <si>
    <r>
      <rPr>
        <sz val="10"/>
        <rFont val="Noto Sans CJK SC"/>
        <family val="2"/>
      </rPr>
      <t xml:space="preserve">곰달래로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길</t>
    </r>
  </si>
  <si>
    <t xml:space="preserve">G03</t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</si>
  <si>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번 신영시장 공영주차장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</si>
  <si>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번</t>
    </r>
  </si>
  <si>
    <t xml:space="preserve">월정로</t>
  </si>
  <si>
    <t xml:space="preserve">A4-1</t>
  </si>
  <si>
    <r>
      <rPr>
        <sz val="10"/>
        <rFont val="Noto Sans CJK SC"/>
        <family val="2"/>
      </rPr>
      <t xml:space="preserve">대안 지점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실사 필요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</si>
  <si>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남부순환로</t>
    </r>
    <r>
      <rPr>
        <sz val="10"/>
        <rFont val="맑은 고딕"/>
        <family val="0"/>
        <charset val="1"/>
      </rPr>
      <t xml:space="preserve">57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남부순환로</t>
    </r>
    <r>
      <rPr>
        <sz val="10"/>
        <rFont val="맑은 고딕"/>
        <family val="0"/>
        <charset val="1"/>
      </rPr>
      <t xml:space="preserve">57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23 </t>
    </r>
    <r>
      <rPr>
        <sz val="10"/>
        <rFont val="Noto Sans CJK SC"/>
        <family val="2"/>
      </rPr>
      <t xml:space="preserve">앞 </t>
    </r>
    <r>
      <rPr>
        <sz val="10"/>
        <rFont val="맑은 고딕"/>
        <family val="0"/>
        <charset val="1"/>
      </rPr>
      <t xml:space="preserve">(5m))</t>
    </r>
  </si>
  <si>
    <t xml:space="preserve">없음</t>
  </si>
  <si>
    <r>
      <rPr>
        <sz val="10"/>
        <rFont val="Noto Sans CJK SC"/>
        <family val="2"/>
      </rPr>
      <t xml:space="preserve">남부순환로</t>
    </r>
    <r>
      <rPr>
        <sz val="10"/>
        <rFont val="맑은 고딕"/>
        <family val="0"/>
        <charset val="1"/>
      </rPr>
      <t xml:space="preserve">57</t>
    </r>
    <r>
      <rPr>
        <sz val="10"/>
        <rFont val="Noto Sans CJK SC"/>
        <family val="2"/>
      </rPr>
      <t xml:space="preserve">길</t>
    </r>
  </si>
  <si>
    <t xml:space="preserve">등록폭</t>
  </si>
  <si>
    <t xml:space="preserve">G05</t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</si>
  <si>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번 신월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동독서실ㆍ파출소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</si>
  <si>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번</t>
    </r>
    <r>
      <rPr>
        <sz val="10"/>
        <rFont val="맑은 고딕"/>
        <family val="0"/>
        <charset val="1"/>
      </rPr>
      <t xml:space="preserve">, 5</t>
    </r>
    <r>
      <rPr>
        <sz val="10"/>
        <rFont val="Noto Sans CJK SC"/>
        <family val="2"/>
      </rPr>
      <t xml:space="preserve">번</t>
    </r>
    <r>
      <rPr>
        <sz val="10"/>
        <rFont val="맑은 고딕"/>
        <family val="0"/>
        <charset val="1"/>
      </rPr>
      <t xml:space="preserve">, 9</t>
    </r>
    <r>
      <rPr>
        <sz val="10"/>
        <rFont val="Noto Sans CJK SC"/>
        <family val="2"/>
      </rPr>
      <t xml:space="preserve">번</t>
    </r>
  </si>
  <si>
    <r>
      <rPr>
        <sz val="10"/>
        <rFont val="Noto Sans CJK SC"/>
        <family val="2"/>
      </rPr>
      <t xml:space="preserve">남부순환로</t>
    </r>
    <r>
      <rPr>
        <sz val="10"/>
        <rFont val="맑은 고딕"/>
        <family val="0"/>
        <charset val="1"/>
      </rPr>
      <t xml:space="preserve">59</t>
    </r>
    <r>
      <rPr>
        <sz val="10"/>
        <rFont val="Noto Sans CJK SC"/>
        <family val="2"/>
      </rPr>
      <t xml:space="preserve">길</t>
    </r>
  </si>
  <si>
    <t xml:space="preserve">A6-1</t>
  </si>
  <si>
    <r>
      <rPr>
        <sz val="10"/>
        <rFont val="Noto Sans CJK SC"/>
        <family val="2"/>
      </rPr>
      <t xml:space="preserve">곰달래로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곰달래로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30 </t>
    </r>
    <r>
      <rPr>
        <sz val="10"/>
        <rFont val="Noto Sans CJK SC"/>
        <family val="2"/>
      </rPr>
      <t xml:space="preserve">앞 </t>
    </r>
    <r>
      <rPr>
        <sz val="10"/>
        <rFont val="맑은 고딕"/>
        <family val="0"/>
        <charset val="1"/>
      </rPr>
      <t xml:space="preserve">(11m))</t>
    </r>
  </si>
  <si>
    <r>
      <rPr>
        <sz val="10"/>
        <rFont val="Noto Sans CJK SC"/>
        <family val="2"/>
      </rPr>
      <t xml:space="preserve">곰달래로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길</t>
    </r>
  </si>
  <si>
    <t xml:space="preserve">A7-1</t>
  </si>
  <si>
    <r>
      <rPr>
        <sz val="10"/>
        <rFont val="Noto Sans CJK SC"/>
        <family val="2"/>
      </rPr>
      <t xml:space="preserve">곰달래로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곰달래로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34 </t>
    </r>
    <r>
      <rPr>
        <sz val="10"/>
        <rFont val="Noto Sans CJK SC"/>
        <family val="2"/>
      </rPr>
      <t xml:space="preserve">앞 </t>
    </r>
    <r>
      <rPr>
        <sz val="10"/>
        <rFont val="맑은 고딕"/>
        <family val="0"/>
        <charset val="1"/>
      </rPr>
      <t xml:space="preserve">(3m))</t>
    </r>
  </si>
  <si>
    <t xml:space="preserve">G07</t>
  </si>
  <si>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번 곰달래로</t>
    </r>
    <r>
      <rPr>
        <sz val="10"/>
        <rFont val="맑은 고딕"/>
        <family val="0"/>
        <charset val="1"/>
      </rPr>
      <t xml:space="preserve">13</t>
    </r>
    <r>
      <rPr>
        <sz val="10"/>
        <rFont val="Noto Sans CJK SC"/>
        <family val="2"/>
      </rPr>
      <t xml:space="preserve">길 도로변 공터</t>
    </r>
  </si>
  <si>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번</t>
    </r>
    <r>
      <rPr>
        <sz val="10"/>
        <rFont val="맑은 고딕"/>
        <family val="0"/>
        <charset val="1"/>
      </rPr>
      <t xml:space="preserve">, 11</t>
    </r>
    <r>
      <rPr>
        <sz val="10"/>
        <rFont val="Noto Sans CJK SC"/>
        <family val="2"/>
      </rPr>
      <t xml:space="preserve">번</t>
    </r>
  </si>
  <si>
    <t xml:space="preserve">G10</t>
  </si>
  <si>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번 곰달래로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길 도로변 공터</t>
    </r>
  </si>
  <si>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번</t>
    </r>
  </si>
  <si>
    <r>
      <rPr>
        <sz val="10"/>
        <rFont val="Noto Sans CJK SC"/>
        <family val="2"/>
      </rPr>
      <t xml:space="preserve">곰달래로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길</t>
    </r>
  </si>
  <si>
    <t xml:space="preserve">합계</t>
  </si>
  <si>
    <r>
      <rPr>
        <b val="true"/>
        <sz val="13"/>
        <color rgb="FF1B6B4A"/>
        <rFont val="맑은 고딕"/>
        <family val="0"/>
        <charset val="1"/>
      </rPr>
      <t xml:space="preserve">1</t>
    </r>
    <r>
      <rPr>
        <b val="true"/>
        <sz val="13"/>
        <color rgb="FF1B6B4A"/>
        <rFont val="Noto Sans CJK SC"/>
        <family val="2"/>
      </rPr>
      <t xml:space="preserve">차 후보 </t>
    </r>
    <r>
      <rPr>
        <b val="true"/>
        <sz val="13"/>
        <color rgb="FF1B6B4A"/>
        <rFont val="맑은 고딕"/>
        <family val="0"/>
        <charset val="1"/>
      </rPr>
      <t xml:space="preserve">11</t>
    </r>
    <r>
      <rPr>
        <b val="true"/>
        <sz val="13"/>
        <color rgb="FF1B6B4A"/>
        <rFont val="Noto Sans CJK SC"/>
        <family val="2"/>
      </rPr>
      <t xml:space="preserve">곳 → 생활권 연결</t>
    </r>
  </si>
  <si>
    <r>
      <rPr>
        <sz val="9"/>
        <color rgb="FF666666"/>
        <rFont val="Noto Sans CJK SC"/>
        <family val="2"/>
      </rPr>
      <t xml:space="preserve">후보 위치가 생활권 영역 안에 있으면 연결</t>
    </r>
    <r>
      <rPr>
        <sz val="9"/>
        <color rgb="FF666666"/>
        <rFont val="맑은 고딕"/>
        <family val="0"/>
        <charset val="1"/>
      </rPr>
      <t xml:space="preserve">. </t>
    </r>
    <r>
      <rPr>
        <sz val="9"/>
        <color rgb="FF666666"/>
        <rFont val="Noto Sans CJK SC"/>
        <family val="2"/>
      </rPr>
      <t xml:space="preserve">한 생활권에 </t>
    </r>
    <r>
      <rPr>
        <sz val="9"/>
        <color rgb="FF666666"/>
        <rFont val="맑은 고딕"/>
        <family val="0"/>
        <charset val="1"/>
      </rPr>
      <t xml:space="preserve">2</t>
    </r>
    <r>
      <rPr>
        <sz val="9"/>
        <color rgb="FF666666"/>
        <rFont val="Noto Sans CJK SC"/>
        <family val="2"/>
      </rPr>
      <t xml:space="preserve">곳 이상이면 그 생활권 세대의 평균 보행거리가 짧은 </t>
    </r>
    <r>
      <rPr>
        <sz val="9"/>
        <color rgb="FF666666"/>
        <rFont val="맑은 고딕"/>
        <family val="0"/>
        <charset val="1"/>
      </rPr>
      <t xml:space="preserve">1</t>
    </r>
    <r>
      <rPr>
        <sz val="9"/>
        <color rgb="FF666666"/>
        <rFont val="Noto Sans CJK SC"/>
        <family val="2"/>
      </rPr>
      <t xml:space="preserve">곳 </t>
    </r>
    <r>
      <rPr>
        <sz val="9"/>
        <color rgb="FF666666"/>
        <rFont val="맑은 고딕"/>
        <family val="0"/>
        <charset val="1"/>
      </rPr>
      <t xml:space="preserve">= </t>
    </r>
    <r>
      <rPr>
        <sz val="9"/>
        <color rgb="FF666666"/>
        <rFont val="Noto Sans CJK SC"/>
        <family val="2"/>
      </rPr>
      <t xml:space="preserve">거점</t>
    </r>
    <r>
      <rPr>
        <sz val="9"/>
        <color rgb="FF666666"/>
        <rFont val="맑은 고딕"/>
        <family val="0"/>
        <charset val="1"/>
      </rPr>
      <t xml:space="preserve">, </t>
    </r>
    <r>
      <rPr>
        <sz val="9"/>
        <color rgb="FF666666"/>
        <rFont val="Noto Sans CJK SC"/>
        <family val="2"/>
      </rPr>
      <t xml:space="preserve">나머지 </t>
    </r>
    <r>
      <rPr>
        <sz val="9"/>
        <color rgb="FF666666"/>
        <rFont val="맑은 고딕"/>
        <family val="0"/>
        <charset val="1"/>
      </rPr>
      <t xml:space="preserve">= </t>
    </r>
    <r>
      <rPr>
        <sz val="9"/>
        <color rgb="FF666666"/>
        <rFont val="Noto Sans CJK SC"/>
        <family val="2"/>
      </rPr>
      <t xml:space="preserve">예비</t>
    </r>
  </si>
  <si>
    <t xml:space="preserve">id</t>
  </si>
  <si>
    <t xml:space="preserve">번호</t>
  </si>
  <si>
    <t xml:space="preserve">부지유형</t>
  </si>
  <si>
    <t xml:space="preserve">역할</t>
  </si>
  <si>
    <r>
      <rPr>
        <b val="true"/>
        <sz val="10"/>
        <color rgb="FFFFFFFF"/>
        <rFont val="Noto Sans CJK SC"/>
        <family val="2"/>
      </rPr>
      <t xml:space="preserve">생활권</t>
    </r>
    <r>
      <rPr>
        <b val="true"/>
        <sz val="10"/>
        <color rgb="FFFFFFFF"/>
        <rFont val="맑은 고딕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평균보행</t>
    </r>
    <r>
      <rPr>
        <b val="true"/>
        <sz val="10"/>
        <color rgb="FFFFFFFF"/>
        <rFont val="맑은 고딕"/>
        <family val="0"/>
        <charset val="1"/>
      </rPr>
      <t xml:space="preserve">_m</t>
    </r>
  </si>
  <si>
    <r>
      <rPr>
        <b val="true"/>
        <sz val="10"/>
        <color rgb="FFFFFFFF"/>
        <rFont val="Noto Sans CJK SC"/>
        <family val="2"/>
      </rPr>
      <t xml:space="preserve">생활권</t>
    </r>
    <r>
      <rPr>
        <b val="true"/>
        <sz val="10"/>
        <color rgb="FFFFFFFF"/>
        <rFont val="맑은 고딕"/>
        <family val="0"/>
        <charset val="1"/>
      </rPr>
      <t xml:space="preserve">_300m</t>
    </r>
    <r>
      <rPr>
        <b val="true"/>
        <sz val="10"/>
        <color rgb="FFFFFFFF"/>
        <rFont val="Noto Sans CJK SC"/>
        <family val="2"/>
      </rPr>
      <t xml:space="preserve">안</t>
    </r>
  </si>
  <si>
    <r>
      <rPr>
        <b val="true"/>
        <sz val="10"/>
        <color rgb="FFFFFFFF"/>
        <rFont val="Noto Sans CJK SC"/>
        <family val="2"/>
      </rPr>
      <t xml:space="preserve">유효폭</t>
    </r>
    <r>
      <rPr>
        <b val="true"/>
        <sz val="10"/>
        <color rgb="FFFFFFFF"/>
        <rFont val="맑은 고딕"/>
        <family val="0"/>
        <charset val="1"/>
      </rPr>
      <t xml:space="preserve">_m</t>
    </r>
  </si>
  <si>
    <r>
      <rPr>
        <b val="true"/>
        <sz val="10"/>
        <color rgb="FFFFFFFF"/>
        <rFont val="Noto Sans CJK SC"/>
        <family val="2"/>
      </rPr>
      <t xml:space="preserve">보호시설과의 거리</t>
    </r>
    <r>
      <rPr>
        <b val="true"/>
        <sz val="10"/>
        <color rgb="FFFFFFFF"/>
        <rFont val="맑은 고딕"/>
        <family val="0"/>
        <charset val="1"/>
      </rPr>
      <t xml:space="preserve">_m</t>
    </r>
  </si>
  <si>
    <t xml:space="preserve">곰달래 공영주차장</t>
  </si>
  <si>
    <t xml:space="preserve">공영주차장</t>
  </si>
  <si>
    <t xml:space="preserve">G02</t>
  </si>
  <si>
    <r>
      <rPr>
        <sz val="10"/>
        <rFont val="Noto Sans CJK SC"/>
        <family val="2"/>
      </rPr>
      <t xml:space="preserve">곰달래로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길 공영주차장</t>
    </r>
  </si>
  <si>
    <t xml:space="preserve">예비</t>
  </si>
  <si>
    <t xml:space="preserve">신영시장 공영주차장</t>
  </si>
  <si>
    <t xml:space="preserve">G04</t>
  </si>
  <si>
    <r>
      <rPr>
        <sz val="10"/>
        <rFont val="Noto Sans CJK SC"/>
        <family val="2"/>
      </rPr>
      <t xml:space="preserve">신월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동저지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구역 공영주차장</t>
    </r>
  </si>
  <si>
    <r>
      <rPr>
        <sz val="10"/>
        <rFont val="Noto Sans CJK SC"/>
        <family val="2"/>
      </rPr>
      <t xml:space="preserve">신월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동독서실ㆍ파출소</t>
    </r>
  </si>
  <si>
    <t xml:space="preserve">공공시설</t>
  </si>
  <si>
    <r>
      <rPr>
        <sz val="10"/>
        <rFont val="Noto Sans CJK SC"/>
        <family val="2"/>
      </rPr>
      <t xml:space="preserve">양천구푸드뱅크마켓 신월점 및 </t>
    </r>
    <r>
      <rPr>
        <sz val="10"/>
        <rFont val="맑은 고딕"/>
        <family val="0"/>
        <charset val="1"/>
      </rPr>
      <t xml:space="preserve">50</t>
    </r>
    <r>
      <rPr>
        <sz val="10"/>
        <rFont val="Noto Sans CJK SC"/>
        <family val="2"/>
      </rPr>
      <t xml:space="preserve">스타트센터</t>
    </r>
  </si>
  <si>
    <r>
      <rPr>
        <sz val="10"/>
        <rFont val="Noto Sans CJK SC"/>
        <family val="2"/>
      </rPr>
      <t xml:space="preserve">곰달래로</t>
    </r>
    <r>
      <rPr>
        <sz val="10"/>
        <rFont val="맑은 고딕"/>
        <family val="0"/>
        <charset val="1"/>
      </rPr>
      <t xml:space="preserve">13</t>
    </r>
    <r>
      <rPr>
        <sz val="10"/>
        <rFont val="Noto Sans CJK SC"/>
        <family val="2"/>
      </rPr>
      <t xml:space="preserve">길 도로변 공터</t>
    </r>
  </si>
  <si>
    <t xml:space="preserve">도로변 공터</t>
  </si>
  <si>
    <t xml:space="preserve">G08</t>
  </si>
  <si>
    <r>
      <rPr>
        <sz val="10"/>
        <rFont val="Noto Sans CJK SC"/>
        <family val="2"/>
      </rPr>
      <t xml:space="preserve">곰달래로</t>
    </r>
    <r>
      <rPr>
        <sz val="10"/>
        <rFont val="맑은 고딕"/>
        <family val="0"/>
        <charset val="1"/>
      </rPr>
      <t xml:space="preserve">14</t>
    </r>
    <r>
      <rPr>
        <sz val="10"/>
        <rFont val="Noto Sans CJK SC"/>
        <family val="2"/>
      </rPr>
      <t xml:space="preserve">길 도로변 공터</t>
    </r>
  </si>
  <si>
    <t xml:space="preserve">G09</t>
  </si>
  <si>
    <t xml:space="preserve">곰달래로 도로변 공터</t>
  </si>
  <si>
    <r>
      <rPr>
        <sz val="10"/>
        <rFont val="Noto Sans CJK SC"/>
        <family val="2"/>
      </rPr>
      <t xml:space="preserve">곰달래로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길 도로변 공터</t>
    </r>
  </si>
  <si>
    <t xml:space="preserve">G11</t>
  </si>
  <si>
    <t xml:space="preserve">월정로 도로변 공터</t>
  </si>
  <si>
    <r>
      <rPr>
        <b val="true"/>
        <sz val="13"/>
        <color rgb="FF1B6B4A"/>
        <rFont val="Noto Sans CJK SC"/>
        <family val="2"/>
      </rPr>
      <t xml:space="preserve">대안 지점</t>
    </r>
    <r>
      <rPr>
        <b val="true"/>
        <sz val="13"/>
        <color rgb="FF1B6B4A"/>
        <rFont val="맑은 고딕"/>
        <family val="0"/>
        <charset val="1"/>
      </rPr>
      <t xml:space="preserve">: </t>
    </r>
    <r>
      <rPr>
        <b val="true"/>
        <sz val="13"/>
        <color rgb="FF1B6B4A"/>
        <rFont val="Noto Sans CJK SC"/>
        <family val="2"/>
      </rPr>
      <t xml:space="preserve">후보가 없는 생활권의 실사 대상</t>
    </r>
  </si>
  <si>
    <r>
      <rPr>
        <sz val="9"/>
        <color rgb="FF666666"/>
        <rFont val="Noto Sans CJK SC"/>
        <family val="2"/>
      </rPr>
      <t xml:space="preserve">조건</t>
    </r>
    <r>
      <rPr>
        <sz val="9"/>
        <color rgb="FF666666"/>
        <rFont val="맑은 고딕"/>
        <family val="0"/>
        <charset val="1"/>
      </rPr>
      <t xml:space="preserve">: </t>
    </r>
    <r>
      <rPr>
        <sz val="9"/>
        <color rgb="FF666666"/>
        <rFont val="Noto Sans CJK SC"/>
        <family val="2"/>
      </rPr>
      <t xml:space="preserve">등록 도로폭 </t>
    </r>
    <r>
      <rPr>
        <sz val="9"/>
        <color rgb="FF666666"/>
        <rFont val="맑은 고딕"/>
        <family val="0"/>
        <charset val="1"/>
      </rPr>
      <t xml:space="preserve">7m </t>
    </r>
    <r>
      <rPr>
        <sz val="9"/>
        <color rgb="FF666666"/>
        <rFont val="Noto Sans CJK SC"/>
        <family val="2"/>
      </rPr>
      <t xml:space="preserve">이상 </t>
    </r>
    <r>
      <rPr>
        <sz val="9"/>
        <color rgb="FF666666"/>
        <rFont val="맑은 고딕"/>
        <family val="0"/>
        <charset val="1"/>
      </rPr>
      <t xml:space="preserve">+ </t>
    </r>
    <r>
      <rPr>
        <sz val="9"/>
        <color rgb="FF666666"/>
        <rFont val="Noto Sans CJK SC"/>
        <family val="2"/>
      </rPr>
      <t xml:space="preserve">보호구역 대상시설 </t>
    </r>
    <r>
      <rPr>
        <sz val="9"/>
        <color rgb="FF666666"/>
        <rFont val="맑은 고딕"/>
        <family val="0"/>
        <charset val="1"/>
      </rPr>
      <t xml:space="preserve">200m </t>
    </r>
    <r>
      <rPr>
        <sz val="9"/>
        <color rgb="FF666666"/>
        <rFont val="Noto Sans CJK SC"/>
        <family val="2"/>
      </rPr>
      <t xml:space="preserve">밖인 도로 위 지점</t>
    </r>
    <r>
      <rPr>
        <sz val="9"/>
        <color rgb="FF666666"/>
        <rFont val="맑은 고딕"/>
        <family val="0"/>
        <charset val="1"/>
      </rPr>
      <t xml:space="preserve">(10m </t>
    </r>
    <r>
      <rPr>
        <sz val="9"/>
        <color rgb="FF666666"/>
        <rFont val="Noto Sans CJK SC"/>
        <family val="2"/>
      </rPr>
      <t xml:space="preserve">간격</t>
    </r>
    <r>
      <rPr>
        <sz val="9"/>
        <color rgb="FF666666"/>
        <rFont val="맑은 고딕"/>
        <family val="0"/>
        <charset val="1"/>
      </rPr>
      <t xml:space="preserve">). </t>
    </r>
    <r>
      <rPr>
        <sz val="9"/>
        <color rgb="FF666666"/>
        <rFont val="Noto Sans CJK SC"/>
        <family val="2"/>
      </rPr>
      <t xml:space="preserve">그 생활권 세대 평균 보행거리 순</t>
    </r>
    <r>
      <rPr>
        <sz val="9"/>
        <color rgb="FF666666"/>
        <rFont val="맑은 고딕"/>
        <family val="0"/>
        <charset val="1"/>
      </rPr>
      <t xml:space="preserve">, 1~3</t>
    </r>
    <r>
      <rPr>
        <sz val="9"/>
        <color rgb="FF666666"/>
        <rFont val="Noto Sans CJK SC"/>
        <family val="2"/>
      </rPr>
      <t xml:space="preserve">순위는 서로 </t>
    </r>
    <r>
      <rPr>
        <sz val="9"/>
        <color rgb="FF666666"/>
        <rFont val="맑은 고딕"/>
        <family val="0"/>
        <charset val="1"/>
      </rPr>
      <t xml:space="preserve">60m </t>
    </r>
    <r>
      <rPr>
        <sz val="9"/>
        <color rgb="FF666666"/>
        <rFont val="Noto Sans CJK SC"/>
        <family val="2"/>
      </rPr>
      <t xml:space="preserve">이상 떨어짐</t>
    </r>
    <r>
      <rPr>
        <sz val="9"/>
        <color rgb="FF666666"/>
        <rFont val="맑은 고딕"/>
        <family val="0"/>
        <charset val="1"/>
      </rPr>
      <t xml:space="preserve">. </t>
    </r>
    <r>
      <rPr>
        <sz val="9"/>
        <color rgb="FF666666"/>
        <rFont val="Noto Sans CJK SC"/>
        <family val="2"/>
      </rPr>
      <t xml:space="preserve">파랑 </t>
    </r>
    <r>
      <rPr>
        <sz val="9"/>
        <color rgb="FF666666"/>
        <rFont val="맑은 고딕"/>
        <family val="0"/>
        <charset val="1"/>
      </rPr>
      <t xml:space="preserve">= </t>
    </r>
    <r>
      <rPr>
        <sz val="9"/>
        <color rgb="FF666666"/>
        <rFont val="Noto Sans CJK SC"/>
        <family val="2"/>
      </rPr>
      <t xml:space="preserve">후보 있는 생활권의 최적 지점</t>
    </r>
    <r>
      <rPr>
        <sz val="9"/>
        <color rgb="FF666666"/>
        <rFont val="맑은 고딕"/>
        <family val="0"/>
        <charset val="1"/>
      </rPr>
      <t xml:space="preserve">(</t>
    </r>
    <r>
      <rPr>
        <sz val="9"/>
        <color rgb="FF666666"/>
        <rFont val="Noto Sans CJK SC"/>
        <family val="2"/>
      </rPr>
      <t xml:space="preserve">참고용</t>
    </r>
    <r>
      <rPr>
        <sz val="9"/>
        <color rgb="FF666666"/>
        <rFont val="맑은 고딕"/>
        <family val="0"/>
        <charset val="1"/>
      </rPr>
      <t xml:space="preserve">)</t>
    </r>
  </si>
  <si>
    <t xml:space="preserve">용도</t>
  </si>
  <si>
    <t xml:space="preserve">순위</t>
  </si>
  <si>
    <t xml:space="preserve">도로명</t>
  </si>
  <si>
    <r>
      <rPr>
        <b val="true"/>
        <sz val="10"/>
        <color rgb="FFFFFFFF"/>
        <rFont val="Noto Sans CJK SC"/>
        <family val="2"/>
      </rPr>
      <t xml:space="preserve">등록도로폭</t>
    </r>
    <r>
      <rPr>
        <b val="true"/>
        <sz val="10"/>
        <color rgb="FFFFFFFF"/>
        <rFont val="맑은 고딕"/>
        <family val="0"/>
        <charset val="1"/>
      </rPr>
      <t xml:space="preserve">_m</t>
    </r>
  </si>
  <si>
    <t xml:space="preserve">도로등급</t>
  </si>
  <si>
    <r>
      <rPr>
        <b val="true"/>
        <sz val="10"/>
        <color rgb="FFFFFFFF"/>
        <rFont val="Noto Sans CJK SC"/>
        <family val="2"/>
      </rPr>
      <t xml:space="preserve">가까운</t>
    </r>
    <r>
      <rPr>
        <b val="true"/>
        <sz val="10"/>
        <color rgb="FFFFFFFF"/>
        <rFont val="맑은 고딕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건물주소</t>
    </r>
  </si>
  <si>
    <r>
      <rPr>
        <b val="true"/>
        <sz val="10"/>
        <color rgb="FFFFFFFF"/>
        <rFont val="Noto Sans CJK SC"/>
        <family val="2"/>
      </rPr>
      <t xml:space="preserve">최근접</t>
    </r>
    <r>
      <rPr>
        <b val="true"/>
        <sz val="10"/>
        <color rgb="FFFFFFFF"/>
        <rFont val="맑은 고딕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보호시설</t>
    </r>
  </si>
  <si>
    <r>
      <rPr>
        <b val="true"/>
        <sz val="10"/>
        <color rgb="FFFFFFFF"/>
        <rFont val="Noto Sans CJK SC"/>
        <family val="2"/>
      </rPr>
      <t xml:space="preserve">교차로까지</t>
    </r>
    <r>
      <rPr>
        <b val="true"/>
        <sz val="10"/>
        <color rgb="FFFFFFFF"/>
        <rFont val="맑은 고딕"/>
        <family val="0"/>
        <charset val="1"/>
      </rPr>
      <t xml:space="preserve">_m</t>
    </r>
  </si>
  <si>
    <r>
      <rPr>
        <b val="true"/>
        <sz val="10"/>
        <color rgb="FFFFFFFF"/>
        <rFont val="Noto Sans CJK SC"/>
        <family val="2"/>
      </rPr>
      <t xml:space="preserve">생활권</t>
    </r>
    <r>
      <rPr>
        <b val="true"/>
        <sz val="10"/>
        <color rgb="FFFFFFFF"/>
        <rFont val="맑은 고딕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통과지점수</t>
    </r>
  </si>
  <si>
    <t xml:space="preserve">대안</t>
  </si>
  <si>
    <t xml:space="preserve">길</t>
  </si>
  <si>
    <r>
      <rPr>
        <sz val="10"/>
        <rFont val="Noto Sans CJK SC"/>
        <family val="2"/>
      </rPr>
      <t xml:space="preserve">남부순환로</t>
    </r>
    <r>
      <rPr>
        <sz val="10"/>
        <rFont val="맑은 고딕"/>
        <family val="0"/>
        <charset val="1"/>
      </rPr>
      <t xml:space="preserve">57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23 </t>
    </r>
    <r>
      <rPr>
        <sz val="10"/>
        <rFont val="Noto Sans CJK SC"/>
        <family val="2"/>
      </rPr>
      <t xml:space="preserve">앞 </t>
    </r>
    <r>
      <rPr>
        <sz val="10"/>
        <rFont val="맑은 고딕"/>
        <family val="0"/>
        <charset val="1"/>
      </rPr>
      <t xml:space="preserve">(5m)</t>
    </r>
  </si>
  <si>
    <r>
      <rPr>
        <sz val="10"/>
        <rFont val="Noto Sans CJK SC"/>
        <family val="2"/>
      </rPr>
      <t xml:space="preserve">월정초등학교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어린이보호구역</t>
    </r>
    <r>
      <rPr>
        <sz val="10"/>
        <rFont val="맑은 고딕"/>
        <family val="0"/>
        <charset val="1"/>
      </rPr>
      <t xml:space="preserve">)</t>
    </r>
  </si>
  <si>
    <t xml:space="preserve">A4-2</t>
  </si>
  <si>
    <r>
      <rPr>
        <sz val="10"/>
        <rFont val="Noto Sans CJK SC"/>
        <family val="2"/>
      </rPr>
      <t xml:space="preserve">곰달래로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53 </t>
    </r>
    <r>
      <rPr>
        <sz val="10"/>
        <rFont val="Noto Sans CJK SC"/>
        <family val="2"/>
      </rPr>
      <t xml:space="preserve">앞 </t>
    </r>
    <r>
      <rPr>
        <sz val="10"/>
        <rFont val="맑은 고딕"/>
        <family val="0"/>
        <charset val="1"/>
      </rPr>
      <t xml:space="preserve">(10m)</t>
    </r>
  </si>
  <si>
    <t xml:space="preserve">A4-3</t>
  </si>
  <si>
    <r>
      <rPr>
        <sz val="10"/>
        <rFont val="Noto Sans CJK SC"/>
        <family val="2"/>
      </rPr>
      <t xml:space="preserve">곰달래로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50 </t>
    </r>
    <r>
      <rPr>
        <sz val="10"/>
        <rFont val="Noto Sans CJK SC"/>
        <family val="2"/>
      </rPr>
      <t xml:space="preserve">앞 </t>
    </r>
    <r>
      <rPr>
        <sz val="10"/>
        <rFont val="맑은 고딕"/>
        <family val="0"/>
        <charset val="1"/>
      </rPr>
      <t xml:space="preserve">(5m)</t>
    </r>
  </si>
  <si>
    <r>
      <rPr>
        <sz val="10"/>
        <rFont val="Noto Sans CJK SC"/>
        <family val="2"/>
      </rPr>
      <t xml:space="preserve">신원초교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어린이보호구역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</si>
  <si>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곰달래로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30 </t>
    </r>
    <r>
      <rPr>
        <sz val="10"/>
        <rFont val="Noto Sans CJK SC"/>
        <family val="2"/>
      </rPr>
      <t xml:space="preserve">앞 </t>
    </r>
    <r>
      <rPr>
        <sz val="10"/>
        <rFont val="맑은 고딕"/>
        <family val="0"/>
        <charset val="1"/>
      </rPr>
      <t xml:space="preserve">(11m)</t>
    </r>
  </si>
  <si>
    <r>
      <rPr>
        <sz val="10"/>
        <rFont val="Noto Sans CJK SC"/>
        <family val="2"/>
      </rPr>
      <t xml:space="preserve">곰달래어린이집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어린이보호구역</t>
    </r>
    <r>
      <rPr>
        <sz val="10"/>
        <rFont val="맑은 고딕"/>
        <family val="0"/>
        <charset val="1"/>
      </rPr>
      <t xml:space="preserve">)</t>
    </r>
  </si>
  <si>
    <t xml:space="preserve">A6-2</t>
  </si>
  <si>
    <r>
      <rPr>
        <sz val="10"/>
        <rFont val="Noto Sans CJK SC"/>
        <family val="2"/>
      </rPr>
      <t xml:space="preserve">곰달래로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길</t>
    </r>
  </si>
  <si>
    <r>
      <rPr>
        <sz val="10"/>
        <rFont val="Noto Sans CJK SC"/>
        <family val="2"/>
      </rPr>
      <t xml:space="preserve">곰달래로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42 </t>
    </r>
    <r>
      <rPr>
        <sz val="10"/>
        <rFont val="Noto Sans CJK SC"/>
        <family val="2"/>
      </rPr>
      <t xml:space="preserve">앞 </t>
    </r>
    <r>
      <rPr>
        <sz val="10"/>
        <rFont val="맑은 고딕"/>
        <family val="0"/>
        <charset val="1"/>
      </rPr>
      <t xml:space="preserve">(7m)</t>
    </r>
  </si>
  <si>
    <t xml:space="preserve">A6-3</t>
  </si>
  <si>
    <r>
      <rPr>
        <sz val="10"/>
        <rFont val="Noto Sans CJK SC"/>
        <family val="2"/>
      </rPr>
      <t xml:space="preserve">곰달래로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38 </t>
    </r>
    <r>
      <rPr>
        <sz val="10"/>
        <rFont val="Noto Sans CJK SC"/>
        <family val="2"/>
      </rPr>
      <t xml:space="preserve">앞 </t>
    </r>
    <r>
      <rPr>
        <sz val="10"/>
        <rFont val="맑은 고딕"/>
        <family val="0"/>
        <charset val="1"/>
      </rPr>
      <t xml:space="preserve">(10m)</t>
    </r>
  </si>
  <si>
    <r>
      <rPr>
        <sz val="10"/>
        <rFont val="Noto Sans CJK SC"/>
        <family val="2"/>
      </rPr>
      <t xml:space="preserve">곰달래로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34 </t>
    </r>
    <r>
      <rPr>
        <sz val="10"/>
        <rFont val="Noto Sans CJK SC"/>
        <family val="2"/>
      </rPr>
      <t xml:space="preserve">앞 </t>
    </r>
    <r>
      <rPr>
        <sz val="10"/>
        <rFont val="맑은 고딕"/>
        <family val="0"/>
        <charset val="1"/>
      </rPr>
      <t xml:space="preserve">(3m)</t>
    </r>
  </si>
  <si>
    <t xml:space="preserve">A7-2</t>
  </si>
  <si>
    <r>
      <rPr>
        <sz val="10"/>
        <rFont val="Noto Sans CJK SC"/>
        <family val="2"/>
      </rPr>
      <t xml:space="preserve">월정로</t>
    </r>
    <r>
      <rPr>
        <sz val="10"/>
        <rFont val="맑은 고딕"/>
        <family val="0"/>
        <charset val="1"/>
      </rPr>
      <t xml:space="preserve">13</t>
    </r>
    <r>
      <rPr>
        <sz val="10"/>
        <rFont val="Noto Sans CJK SC"/>
        <family val="2"/>
      </rPr>
      <t xml:space="preserve">길</t>
    </r>
  </si>
  <si>
    <r>
      <rPr>
        <sz val="10"/>
        <rFont val="Noto Sans CJK SC"/>
        <family val="2"/>
      </rPr>
      <t xml:space="preserve">곰달래로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39 </t>
    </r>
    <r>
      <rPr>
        <sz val="10"/>
        <rFont val="Noto Sans CJK SC"/>
        <family val="2"/>
      </rPr>
      <t xml:space="preserve">앞 </t>
    </r>
    <r>
      <rPr>
        <sz val="10"/>
        <rFont val="맑은 고딕"/>
        <family val="0"/>
        <charset val="1"/>
      </rPr>
      <t xml:space="preserve">(6m)</t>
    </r>
  </si>
  <si>
    <r>
      <rPr>
        <sz val="10"/>
        <rFont val="Noto Sans CJK SC"/>
        <family val="2"/>
      </rPr>
      <t xml:space="preserve">신강초교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어린이보호구역</t>
    </r>
    <r>
      <rPr>
        <sz val="10"/>
        <rFont val="맑은 고딕"/>
        <family val="0"/>
        <charset val="1"/>
      </rPr>
      <t xml:space="preserve">)</t>
    </r>
  </si>
  <si>
    <t xml:space="preserve">A7-3</t>
  </si>
  <si>
    <r>
      <rPr>
        <sz val="10"/>
        <rFont val="Noto Sans CJK SC"/>
        <family val="2"/>
      </rPr>
      <t xml:space="preserve">월정로</t>
    </r>
    <r>
      <rPr>
        <sz val="10"/>
        <rFont val="맑은 고딕"/>
        <family val="0"/>
        <charset val="1"/>
      </rPr>
      <t xml:space="preserve">13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8 </t>
    </r>
    <r>
      <rPr>
        <sz val="10"/>
        <rFont val="Noto Sans CJK SC"/>
        <family val="2"/>
      </rPr>
      <t xml:space="preserve">앞 </t>
    </r>
    <r>
      <rPr>
        <sz val="10"/>
        <rFont val="맑은 고딕"/>
        <family val="0"/>
        <charset val="1"/>
      </rPr>
      <t xml:space="preserve">(4m)</t>
    </r>
  </si>
  <si>
    <t xml:space="preserve">R1</t>
  </si>
  <si>
    <r>
      <rPr>
        <sz val="10"/>
        <rFont val="Noto Sans CJK SC"/>
        <family val="2"/>
      </rPr>
      <t xml:space="preserve">참고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후보 있음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</si>
  <si>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가로공원로</t>
    </r>
    <r>
      <rPr>
        <sz val="10"/>
        <rFont val="맑은 고딕"/>
        <family val="0"/>
        <charset val="1"/>
      </rPr>
      <t xml:space="preserve">70</t>
    </r>
    <r>
      <rPr>
        <sz val="10"/>
        <rFont val="Noto Sans CJK SC"/>
        <family val="2"/>
      </rPr>
      <t xml:space="preserve">길</t>
    </r>
  </si>
  <si>
    <r>
      <rPr>
        <sz val="10"/>
        <rFont val="Noto Sans CJK SC"/>
        <family val="2"/>
      </rPr>
      <t xml:space="preserve">가로공원로</t>
    </r>
    <r>
      <rPr>
        <sz val="10"/>
        <rFont val="맑은 고딕"/>
        <family val="0"/>
        <charset val="1"/>
      </rPr>
      <t xml:space="preserve">70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12 </t>
    </r>
    <r>
      <rPr>
        <sz val="10"/>
        <rFont val="Noto Sans CJK SC"/>
        <family val="2"/>
      </rPr>
      <t xml:space="preserve">앞 </t>
    </r>
    <r>
      <rPr>
        <sz val="10"/>
        <rFont val="맑은 고딕"/>
        <family val="0"/>
        <charset val="1"/>
      </rPr>
      <t xml:space="preserve">(6m)</t>
    </r>
  </si>
  <si>
    <t xml:space="preserve">R2</t>
  </si>
  <si>
    <r>
      <rPr>
        <sz val="10"/>
        <rFont val="Noto Sans CJK SC"/>
        <family val="2"/>
      </rPr>
      <t xml:space="preserve">곰달래로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12 </t>
    </r>
    <r>
      <rPr>
        <sz val="10"/>
        <rFont val="Noto Sans CJK SC"/>
        <family val="2"/>
      </rPr>
      <t xml:space="preserve">앞 </t>
    </r>
    <r>
      <rPr>
        <sz val="10"/>
        <rFont val="맑은 고딕"/>
        <family val="0"/>
        <charset val="1"/>
      </rPr>
      <t xml:space="preserve">(3m)</t>
    </r>
  </si>
  <si>
    <t xml:space="preserve">R3</t>
  </si>
  <si>
    <r>
      <rPr>
        <sz val="10"/>
        <rFont val="Noto Sans CJK SC"/>
        <family val="2"/>
      </rPr>
      <t xml:space="preserve">월정로</t>
    </r>
    <r>
      <rPr>
        <sz val="10"/>
        <rFont val="맑은 고딕"/>
        <family val="0"/>
        <charset val="1"/>
      </rPr>
      <t xml:space="preserve">29</t>
    </r>
    <r>
      <rPr>
        <sz val="10"/>
        <rFont val="Noto Sans CJK SC"/>
        <family val="2"/>
      </rPr>
      <t xml:space="preserve">길</t>
    </r>
  </si>
  <si>
    <r>
      <rPr>
        <sz val="10"/>
        <rFont val="Noto Sans CJK SC"/>
        <family val="2"/>
      </rPr>
      <t xml:space="preserve">월정로</t>
    </r>
    <r>
      <rPr>
        <sz val="10"/>
        <rFont val="맑은 고딕"/>
        <family val="0"/>
        <charset val="1"/>
      </rPr>
      <t xml:space="preserve">29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14 </t>
    </r>
    <r>
      <rPr>
        <sz val="10"/>
        <rFont val="Noto Sans CJK SC"/>
        <family val="2"/>
      </rPr>
      <t xml:space="preserve">앞 </t>
    </r>
    <r>
      <rPr>
        <sz val="10"/>
        <rFont val="맑은 고딕"/>
        <family val="0"/>
        <charset val="1"/>
      </rPr>
      <t xml:space="preserve">(5m)</t>
    </r>
  </si>
  <si>
    <t xml:space="preserve">R5</t>
  </si>
  <si>
    <r>
      <rPr>
        <sz val="10"/>
        <rFont val="Noto Sans CJK SC"/>
        <family val="2"/>
      </rPr>
      <t xml:space="preserve">남부순환로</t>
    </r>
    <r>
      <rPr>
        <sz val="10"/>
        <rFont val="맑은 고딕"/>
        <family val="0"/>
        <charset val="1"/>
      </rPr>
      <t xml:space="preserve">59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11 </t>
    </r>
    <r>
      <rPr>
        <sz val="10"/>
        <rFont val="Noto Sans CJK SC"/>
        <family val="2"/>
      </rPr>
      <t xml:space="preserve">앞 </t>
    </r>
    <r>
      <rPr>
        <sz val="10"/>
        <rFont val="맑은 고딕"/>
        <family val="0"/>
        <charset val="1"/>
      </rPr>
      <t xml:space="preserve">(6m)</t>
    </r>
  </si>
  <si>
    <t xml:space="preserve">R8</t>
  </si>
  <si>
    <r>
      <rPr>
        <sz val="10"/>
        <rFont val="Noto Sans CJK SC"/>
        <family val="2"/>
      </rPr>
      <t xml:space="preserve">월정로</t>
    </r>
    <r>
      <rPr>
        <sz val="10"/>
        <rFont val="맑은 고딕"/>
        <family val="0"/>
        <charset val="1"/>
      </rPr>
      <t xml:space="preserve">25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6 </t>
    </r>
    <r>
      <rPr>
        <sz val="10"/>
        <rFont val="Noto Sans CJK SC"/>
        <family val="2"/>
      </rPr>
      <t xml:space="preserve">앞 </t>
    </r>
    <r>
      <rPr>
        <sz val="10"/>
        <rFont val="맑은 고딕"/>
        <family val="0"/>
        <charset val="1"/>
      </rPr>
      <t xml:space="preserve">(9m)</t>
    </r>
  </si>
  <si>
    <r>
      <rPr>
        <sz val="10"/>
        <rFont val="Noto Sans CJK SC"/>
        <family val="2"/>
      </rPr>
      <t xml:space="preserve">배다리어린이집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어린이보호구역</t>
    </r>
    <r>
      <rPr>
        <sz val="10"/>
        <rFont val="맑은 고딕"/>
        <family val="0"/>
        <charset val="1"/>
      </rPr>
      <t xml:space="preserve">)</t>
    </r>
  </si>
  <si>
    <t xml:space="preserve">R9</t>
  </si>
  <si>
    <r>
      <rPr>
        <sz val="10"/>
        <rFont val="Noto Sans CJK SC"/>
        <family val="2"/>
      </rPr>
      <t xml:space="preserve">월정로</t>
    </r>
    <r>
      <rPr>
        <sz val="10"/>
        <rFont val="맑은 고딕"/>
        <family val="0"/>
        <charset val="1"/>
      </rPr>
      <t xml:space="preserve">29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22 </t>
    </r>
    <r>
      <rPr>
        <sz val="10"/>
        <rFont val="Noto Sans CJK SC"/>
        <family val="2"/>
      </rPr>
      <t xml:space="preserve">앞 </t>
    </r>
    <r>
      <rPr>
        <sz val="10"/>
        <rFont val="맑은 고딕"/>
        <family val="0"/>
        <charset val="1"/>
      </rPr>
      <t xml:space="preserve">(5m)</t>
    </r>
  </si>
  <si>
    <r>
      <rPr>
        <b val="true"/>
        <sz val="13"/>
        <color rgb="FF1B6B4A"/>
        <rFont val="Noto Sans CJK SC"/>
        <family val="2"/>
      </rPr>
      <t xml:space="preserve">거점 배치안 비교 </t>
    </r>
    <r>
      <rPr>
        <b val="true"/>
        <sz val="13"/>
        <color rgb="FF1B6B4A"/>
        <rFont val="맑은 고딕"/>
        <family val="0"/>
        <charset val="1"/>
      </rPr>
      <t xml:space="preserve">(</t>
    </r>
    <r>
      <rPr>
        <b val="true"/>
        <sz val="13"/>
        <color rgb="FF1B6B4A"/>
        <rFont val="Noto Sans CJK SC"/>
        <family val="2"/>
      </rPr>
      <t xml:space="preserve">아파트 제외 세대</t>
    </r>
    <r>
      <rPr>
        <b val="true"/>
        <sz val="13"/>
        <color rgb="FF1B6B4A"/>
        <rFont val="맑은 고딕"/>
        <family val="0"/>
        <charset val="1"/>
      </rPr>
      <t xml:space="preserve">, </t>
    </r>
    <r>
      <rPr>
        <b val="true"/>
        <sz val="13"/>
        <color rgb="FF1B6B4A"/>
        <rFont val="Noto Sans CJK SC"/>
        <family val="2"/>
      </rPr>
      <t xml:space="preserve">도로 보행거리</t>
    </r>
    <r>
      <rPr>
        <b val="true"/>
        <sz val="13"/>
        <color rgb="FF1B6B4A"/>
        <rFont val="맑은 고딕"/>
        <family val="0"/>
        <charset val="1"/>
      </rPr>
      <t xml:space="preserve">)</t>
    </r>
  </si>
  <si>
    <r>
      <rPr>
        <sz val="9"/>
        <color rgb="FF666666"/>
        <rFont val="Noto Sans CJK SC"/>
        <family val="2"/>
      </rPr>
      <t xml:space="preserve">수거 순회</t>
    </r>
    <r>
      <rPr>
        <sz val="9"/>
        <color rgb="FF666666"/>
        <rFont val="맑은 고딕"/>
        <family val="0"/>
        <charset val="1"/>
      </rPr>
      <t xml:space="preserve">: </t>
    </r>
    <r>
      <rPr>
        <sz val="9"/>
        <color rgb="FF666666"/>
        <rFont val="Noto Sans CJK SC"/>
        <family val="2"/>
      </rPr>
      <t xml:space="preserve">생활권 거점 </t>
    </r>
    <r>
      <rPr>
        <sz val="9"/>
        <color rgb="FF666666"/>
        <rFont val="맑은 고딕"/>
        <family val="0"/>
        <charset val="1"/>
      </rPr>
      <t xml:space="preserve">9</t>
    </r>
    <r>
      <rPr>
        <sz val="9"/>
        <color rgb="FF666666"/>
        <rFont val="Noto Sans CJK SC"/>
        <family val="2"/>
      </rPr>
      <t xml:space="preserve">곳 </t>
    </r>
    <r>
      <rPr>
        <sz val="9"/>
        <color rgb="FF666666"/>
        <rFont val="맑은 고딕"/>
        <family val="0"/>
        <charset val="1"/>
      </rPr>
      <t xml:space="preserve">3.22km, 1</t>
    </r>
    <r>
      <rPr>
        <sz val="9"/>
        <color rgb="FF666666"/>
        <rFont val="Noto Sans CJK SC"/>
        <family val="2"/>
      </rPr>
      <t xml:space="preserve">차 후보 </t>
    </r>
    <r>
      <rPr>
        <sz val="9"/>
        <color rgb="FF666666"/>
        <rFont val="맑은 고딕"/>
        <family val="0"/>
        <charset val="1"/>
      </rPr>
      <t xml:space="preserve">11</t>
    </r>
    <r>
      <rPr>
        <sz val="9"/>
        <color rgb="FF666666"/>
        <rFont val="Noto Sans CJK SC"/>
        <family val="2"/>
      </rPr>
      <t xml:space="preserve">곳 </t>
    </r>
    <r>
      <rPr>
        <sz val="9"/>
        <color rgb="FF666666"/>
        <rFont val="맑은 고딕"/>
        <family val="0"/>
        <charset val="1"/>
      </rPr>
      <t xml:space="preserve">2.89km</t>
    </r>
  </si>
  <si>
    <t xml:space="preserve">안</t>
  </si>
  <si>
    <t xml:space="preserve">거점수</t>
  </si>
  <si>
    <r>
      <rPr>
        <b val="true"/>
        <sz val="10"/>
        <color rgb="FFFFFFFF"/>
        <rFont val="Noto Sans CJK SC"/>
        <family val="2"/>
      </rPr>
      <t xml:space="preserve">세대</t>
    </r>
    <r>
      <rPr>
        <b val="true"/>
        <sz val="10"/>
        <color rgb="FFFFFFFF"/>
        <rFont val="맑은 고딕"/>
        <family val="0"/>
        <charset val="1"/>
      </rPr>
      <t xml:space="preserve">90</t>
    </r>
    <r>
      <rPr>
        <b val="true"/>
        <sz val="10"/>
        <color rgb="FFFFFFFF"/>
        <rFont val="Noto Sans CJK SC"/>
        <family val="2"/>
      </rPr>
      <t xml:space="preserve">퍼</t>
    </r>
    <r>
      <rPr>
        <b val="true"/>
        <sz val="10"/>
        <color rgb="FFFFFFFF"/>
        <rFont val="맑은 고딕"/>
        <family val="0"/>
        <charset val="1"/>
      </rPr>
      <t xml:space="preserve">_m</t>
    </r>
  </si>
  <si>
    <r>
      <rPr>
        <sz val="10"/>
        <rFont val="Noto Sans CJK SC"/>
        <family val="2"/>
      </rPr>
      <t xml:space="preserve">생활권 거점 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곳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자기 생활권 거점 이용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</si>
  <si>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생활권 거점 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곳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가장 가까운 거점 이용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</si>
  <si>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차 후보 중 거점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곳만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</si>
  <si>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차 후보 </t>
    </r>
    <r>
      <rPr>
        <sz val="10"/>
        <rFont val="맑은 고딕"/>
        <family val="0"/>
        <charset val="1"/>
      </rPr>
      <t xml:space="preserve">11</t>
    </r>
    <r>
      <rPr>
        <sz val="10"/>
        <rFont val="Noto Sans CJK SC"/>
        <family val="2"/>
      </rPr>
      <t xml:space="preserve">곳 전부</t>
    </r>
  </si>
  <si>
    <t xml:space="preserve">설정값을 바꾸면 생활권 수가 어떻게 변하나</t>
  </si>
  <si>
    <r>
      <rPr>
        <sz val="9"/>
        <color rgb="FF666666"/>
        <rFont val="Noto Sans CJK SC"/>
        <family val="2"/>
      </rPr>
      <t xml:space="preserve">본 분석 </t>
    </r>
    <r>
      <rPr>
        <sz val="9"/>
        <color rgb="FF666666"/>
        <rFont val="맑은 고딕"/>
        <family val="0"/>
        <charset val="1"/>
      </rPr>
      <t xml:space="preserve">= </t>
    </r>
    <r>
      <rPr>
        <sz val="9"/>
        <color rgb="FF666666"/>
        <rFont val="Noto Sans CJK SC"/>
        <family val="2"/>
      </rPr>
      <t xml:space="preserve">반경 </t>
    </r>
    <r>
      <rPr>
        <sz val="9"/>
        <color rgb="FF666666"/>
        <rFont val="맑은 고딕"/>
        <family val="0"/>
        <charset val="1"/>
      </rPr>
      <t xml:space="preserve">150m, γ 1. </t>
    </r>
    <r>
      <rPr>
        <sz val="9"/>
        <color rgb="FF666666"/>
        <rFont val="Noto Sans CJK SC"/>
        <family val="2"/>
      </rPr>
      <t xml:space="preserve">시드 </t>
    </r>
    <r>
      <rPr>
        <sz val="9"/>
        <color rgb="FF666666"/>
        <rFont val="맑은 고딕"/>
        <family val="0"/>
        <charset val="1"/>
      </rPr>
      <t xml:space="preserve">20</t>
    </r>
    <r>
      <rPr>
        <sz val="9"/>
        <color rgb="FF666666"/>
        <rFont val="Noto Sans CJK SC"/>
        <family val="2"/>
      </rPr>
      <t xml:space="preserve">번 중 </t>
    </r>
    <r>
      <rPr>
        <sz val="9"/>
        <color rgb="FF666666"/>
        <rFont val="맑은 고딕"/>
        <family val="0"/>
        <charset val="1"/>
      </rPr>
      <t xml:space="preserve">modularity </t>
    </r>
    <r>
      <rPr>
        <sz val="9"/>
        <color rgb="FF666666"/>
        <rFont val="Noto Sans CJK SC"/>
        <family val="2"/>
      </rPr>
      <t xml:space="preserve">최고 결과</t>
    </r>
    <r>
      <rPr>
        <sz val="9"/>
        <color rgb="FF666666"/>
        <rFont val="맑은 고딕"/>
        <family val="0"/>
        <charset val="1"/>
      </rPr>
      <t xml:space="preserve">. </t>
    </r>
    <r>
      <rPr>
        <sz val="9"/>
        <color rgb="FF666666"/>
        <rFont val="Noto Sans CJK SC"/>
        <family val="2"/>
      </rPr>
      <t xml:space="preserve">이상중심 </t>
    </r>
    <r>
      <rPr>
        <sz val="9"/>
        <color rgb="FF666666"/>
        <rFont val="맑은 고딕"/>
        <family val="0"/>
        <charset val="1"/>
      </rPr>
      <t xml:space="preserve">= </t>
    </r>
    <r>
      <rPr>
        <sz val="9"/>
        <color rgb="FF666666"/>
        <rFont val="Noto Sans CJK SC"/>
        <family val="2"/>
      </rPr>
      <t xml:space="preserve">생활권마다 세대 보행거리 합이 최소인 필지</t>
    </r>
  </si>
  <si>
    <r>
      <rPr>
        <b val="true"/>
        <sz val="10"/>
        <color rgb="FFFFFFFF"/>
        <rFont val="Noto Sans CJK SC"/>
        <family val="2"/>
      </rPr>
      <t xml:space="preserve">연결반경</t>
    </r>
    <r>
      <rPr>
        <b val="true"/>
        <sz val="10"/>
        <color rgb="FFFFFFFF"/>
        <rFont val="맑은 고딕"/>
        <family val="0"/>
        <charset val="1"/>
      </rPr>
      <t xml:space="preserve">_m</t>
    </r>
  </si>
  <si>
    <t xml:space="preserve">감마</t>
  </si>
  <si>
    <t xml:space="preserve">생활권수</t>
  </si>
  <si>
    <r>
      <rPr>
        <b val="true"/>
        <sz val="10"/>
        <color rgb="FFFFFFFF"/>
        <rFont val="Noto Sans CJK SC"/>
        <family val="2"/>
      </rPr>
      <t xml:space="preserve">시드별</t>
    </r>
    <r>
      <rPr>
        <b val="true"/>
        <sz val="10"/>
        <color rgb="FFFFFFFF"/>
        <rFont val="맑은 고딕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생활권수</t>
    </r>
  </si>
  <si>
    <t xml:space="preserve">modularity</t>
  </si>
  <si>
    <r>
      <rPr>
        <b val="true"/>
        <sz val="10"/>
        <color rgb="FFFFFFFF"/>
        <rFont val="Noto Sans CJK SC"/>
        <family val="2"/>
      </rPr>
      <t xml:space="preserve">시드간</t>
    </r>
    <r>
      <rPr>
        <b val="true"/>
        <sz val="10"/>
        <color rgb="FFFFFFFF"/>
        <rFont val="맑은 고딕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일치도</t>
    </r>
    <r>
      <rPr>
        <b val="true"/>
        <sz val="10"/>
        <color rgb="FFFFFFFF"/>
        <rFont val="맑은 고딕"/>
        <family val="0"/>
        <charset val="1"/>
      </rPr>
      <t xml:space="preserve">_ARI</t>
    </r>
  </si>
  <si>
    <t xml:space="preserve">연결덩어리수</t>
  </si>
  <si>
    <r>
      <rPr>
        <b val="true"/>
        <sz val="10"/>
        <color rgb="FFFFFFFF"/>
        <rFont val="Noto Sans CJK SC"/>
        <family val="2"/>
      </rPr>
      <t xml:space="preserve">이상중심</t>
    </r>
    <r>
      <rPr>
        <b val="true"/>
        <sz val="10"/>
        <color rgb="FFFFFFFF"/>
        <rFont val="맑은 고딕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평균보행</t>
    </r>
    <r>
      <rPr>
        <b val="true"/>
        <sz val="10"/>
        <color rgb="FFFFFFFF"/>
        <rFont val="맑은 고딕"/>
        <family val="0"/>
        <charset val="1"/>
      </rPr>
      <t xml:space="preserve">_m</t>
    </r>
  </si>
  <si>
    <r>
      <rPr>
        <b val="true"/>
        <sz val="10"/>
        <color rgb="FFFFFFFF"/>
        <rFont val="Noto Sans CJK SC"/>
        <family val="2"/>
      </rPr>
      <t xml:space="preserve">이상중심</t>
    </r>
    <r>
      <rPr>
        <b val="true"/>
        <sz val="10"/>
        <color rgb="FFFFFFFF"/>
        <rFont val="맑은 고딕"/>
        <family val="0"/>
        <charset val="1"/>
      </rPr>
      <t xml:space="preserve">_200m</t>
    </r>
    <r>
      <rPr>
        <b val="true"/>
        <sz val="10"/>
        <color rgb="FFFFFFFF"/>
        <rFont val="Noto Sans CJK SC"/>
        <family val="2"/>
      </rPr>
      <t xml:space="preserve">안</t>
    </r>
  </si>
  <si>
    <r>
      <rPr>
        <b val="true"/>
        <sz val="10"/>
        <color rgb="FFFFFFFF"/>
        <rFont val="Noto Sans CJK SC"/>
        <family val="2"/>
      </rPr>
      <t xml:space="preserve">이상중심</t>
    </r>
    <r>
      <rPr>
        <b val="true"/>
        <sz val="10"/>
        <color rgb="FFFFFFFF"/>
        <rFont val="맑은 고딕"/>
        <family val="0"/>
        <charset val="1"/>
      </rPr>
      <t xml:space="preserve">_300m</t>
    </r>
    <r>
      <rPr>
        <b val="true"/>
        <sz val="10"/>
        <color rgb="FFFFFFFF"/>
        <rFont val="Noto Sans CJK SC"/>
        <family val="2"/>
      </rPr>
      <t xml:space="preserve">안</t>
    </r>
  </si>
  <si>
    <t xml:space="preserve">14~17</t>
  </si>
  <si>
    <t xml:space="preserve">18~21</t>
  </si>
  <si>
    <t xml:space="preserve">19~22</t>
  </si>
  <si>
    <t xml:space="preserve">10~12</t>
  </si>
  <si>
    <t xml:space="preserve">11~13</t>
  </si>
  <si>
    <t xml:space="preserve">13~18</t>
  </si>
  <si>
    <t xml:space="preserve">8~10</t>
  </si>
  <si>
    <t xml:space="preserve">9~10</t>
  </si>
  <si>
    <t xml:space="preserve">10~14</t>
  </si>
  <si>
    <t xml:space="preserve">7~9</t>
  </si>
  <si>
    <t xml:space="preserve">9~11</t>
  </si>
  <si>
    <t xml:space="preserve">6~7</t>
  </si>
  <si>
    <t xml:space="preserve">5~7</t>
  </si>
  <si>
    <t xml:space="preserve">건축물대장 표제부 → 세대 필지</t>
  </si>
  <si>
    <t xml:space="preserve">단계</t>
  </si>
  <si>
    <t xml:space="preserve">건수</t>
  </si>
  <si>
    <t xml:space="preserve">설명</t>
  </si>
  <si>
    <t xml:space="preserve">표제부 전체</t>
  </si>
  <si>
    <r>
      <rPr>
        <sz val="10"/>
        <rFont val="Noto Sans CJK SC"/>
        <family val="2"/>
      </rPr>
      <t xml:space="preserve">양천구 신월동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법정동</t>
    </r>
    <r>
      <rPr>
        <sz val="10"/>
        <rFont val="맑은 고딕"/>
        <family val="0"/>
        <charset val="1"/>
      </rPr>
      <t xml:space="preserve">) = </t>
    </r>
    <r>
      <rPr>
        <sz val="10"/>
        <rFont val="Noto Sans CJK SC"/>
        <family val="2"/>
      </rPr>
      <t xml:space="preserve">신월</t>
    </r>
    <r>
      <rPr>
        <sz val="10"/>
        <rFont val="맑은 고딕"/>
        <family val="0"/>
        <charset val="1"/>
      </rPr>
      <t xml:space="preserve">1~7</t>
    </r>
    <r>
      <rPr>
        <sz val="10"/>
        <rFont val="Noto Sans CJK SC"/>
        <family val="2"/>
      </rPr>
      <t xml:space="preserve">동</t>
    </r>
  </si>
  <si>
    <r>
      <rPr>
        <sz val="10"/>
        <rFont val="Noto Sans CJK SC"/>
        <family val="2"/>
      </rPr>
      <t xml:space="preserve">신월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동 건물에 연결</t>
    </r>
  </si>
  <si>
    <r>
      <rPr>
        <sz val="10"/>
        <rFont val="Noto Sans CJK SC"/>
        <family val="2"/>
      </rPr>
      <t xml:space="preserve">지번 → 전자지도 건물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신월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동 경계 안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주거 건물 연결률 </t>
    </r>
    <r>
      <rPr>
        <sz val="10"/>
        <rFont val="맑은 고딕"/>
        <family val="0"/>
        <charset val="1"/>
      </rPr>
      <t xml:space="preserve">99.8%)</t>
    </r>
  </si>
  <si>
    <t xml:space="preserve">아파트 제외</t>
  </si>
  <si>
    <r>
      <rPr>
        <sz val="10"/>
        <rFont val="Noto Sans CJK SC"/>
        <family val="2"/>
      </rPr>
      <t xml:space="preserve">기타용도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아파트</t>
    </r>
    <r>
      <rPr>
        <sz val="10"/>
        <rFont val="맑은 고딕"/>
        <family val="0"/>
        <charset val="1"/>
      </rPr>
      <t xml:space="preserve">' 23</t>
    </r>
    <r>
      <rPr>
        <sz val="10"/>
        <rFont val="Noto Sans CJK SC"/>
        <family val="2"/>
      </rPr>
      <t xml:space="preserve">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해당 필지 </t>
    </r>
    <r>
      <rPr>
        <sz val="10"/>
        <rFont val="맑은 고딕"/>
        <family val="0"/>
        <charset val="1"/>
      </rPr>
      <t xml:space="preserve">20</t>
    </r>
    <r>
      <rPr>
        <sz val="10"/>
        <rFont val="Noto Sans CJK SC"/>
        <family val="2"/>
      </rPr>
      <t xml:space="preserve">곳 전체 제외</t>
    </r>
  </si>
  <si>
    <t xml:space="preserve">세대가 있는 건물</t>
  </si>
  <si>
    <r>
      <rPr>
        <sz val="10"/>
        <rFont val="Noto Sans CJK SC"/>
        <family val="2"/>
      </rPr>
      <t xml:space="preserve">세대수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가구수 </t>
    </r>
    <r>
      <rPr>
        <sz val="10"/>
        <rFont val="맑은 고딕"/>
        <family val="0"/>
        <charset val="1"/>
      </rPr>
      <t xml:space="preserve">&gt; 0</t>
    </r>
  </si>
  <si>
    <t xml:space="preserve">  └ 상가주택 포함</t>
  </si>
  <si>
    <r>
      <rPr>
        <sz val="10"/>
        <rFont val="Noto Sans CJK SC"/>
        <family val="2"/>
      </rPr>
      <t xml:space="preserve">주용도 근린생활시설 등이지만 세대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가구 있음 </t>
    </r>
    <r>
      <rPr>
        <sz val="10"/>
        <rFont val="맑은 고딕"/>
        <family val="0"/>
        <charset val="1"/>
      </rPr>
      <t xml:space="preserve">(340</t>
    </r>
    <r>
      <rPr>
        <sz val="10"/>
        <rFont val="Noto Sans CJK SC"/>
        <family val="2"/>
      </rPr>
      <t xml:space="preserve">세대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</si>
  <si>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  └ 0 → 1</t>
    </r>
    <r>
      <rPr>
        <sz val="10"/>
        <rFont val="Noto Sans CJK SC"/>
        <family val="2"/>
      </rPr>
      <t xml:space="preserve">세대 보정</t>
    </r>
  </si>
  <si>
    <r>
      <rPr>
        <sz val="10"/>
        <rFont val="Noto Sans CJK SC"/>
        <family val="2"/>
      </rPr>
      <t xml:space="preserve">주용도가 주택인데 세대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가구 </t>
    </r>
    <r>
      <rPr>
        <sz val="10"/>
        <rFont val="맑은 고딕"/>
        <family val="0"/>
        <charset val="1"/>
      </rPr>
      <t xml:space="preserve">0</t>
    </r>
  </si>
  <si>
    <r>
      <rPr>
        <sz val="10"/>
        <rFont val="Noto Sans CJK SC"/>
        <family val="2"/>
      </rPr>
      <t xml:space="preserve">세대 필지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생활권 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</si>
  <si>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필지 단위로 합침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총 </t>
    </r>
    <r>
      <rPr>
        <sz val="10"/>
        <rFont val="맑은 고딕"/>
        <family val="0"/>
        <charset val="1"/>
      </rPr>
      <t xml:space="preserve">7,193</t>
    </r>
    <r>
      <rPr>
        <sz val="10"/>
        <rFont val="Noto Sans CJK SC"/>
        <family val="2"/>
      </rPr>
      <t xml:space="preserve">세대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필지당 중앙값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세대</t>
    </r>
  </si>
  <si>
    <t xml:space="preserve">주택유형별 세대</t>
  </si>
  <si>
    <t xml:space="preserve">주택유형</t>
  </si>
  <si>
    <t xml:space="preserve">세대</t>
  </si>
  <si>
    <t xml:space="preserve">비율</t>
  </si>
  <si>
    <t xml:space="preserve">다세대</t>
  </si>
  <si>
    <t xml:space="preserve">다가구</t>
  </si>
  <si>
    <r>
      <rPr>
        <sz val="10"/>
        <rFont val="Noto Sans CJK SC"/>
        <family val="2"/>
      </rPr>
      <t xml:space="preserve">공동주택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기타</t>
    </r>
    <r>
      <rPr>
        <sz val="10"/>
        <rFont val="맑은 고딕"/>
        <family val="0"/>
        <charset val="1"/>
      </rPr>
      <t xml:space="preserve">)</t>
    </r>
  </si>
  <si>
    <t xml:space="preserve">단독</t>
  </si>
  <si>
    <t xml:space="preserve">연립</t>
  </si>
  <si>
    <t xml:space="preserve">상가주택</t>
  </si>
  <si>
    <t xml:space="preserve">기준값</t>
  </si>
  <si>
    <r>
      <rPr>
        <sz val="9"/>
        <color rgb="FF666666"/>
        <rFont val="맑은 고딕"/>
        <family val="0"/>
        <charset val="1"/>
      </rPr>
      <t xml:space="preserve">src/gzlib.py </t>
    </r>
    <r>
      <rPr>
        <sz val="9"/>
        <color rgb="FF666666"/>
        <rFont val="Noto Sans CJK SC"/>
        <family val="2"/>
      </rPr>
      <t xml:space="preserve">맨 위에서 바꾸고 </t>
    </r>
    <r>
      <rPr>
        <sz val="9"/>
        <color rgb="FF666666"/>
        <rFont val="맑은 고딕"/>
        <family val="0"/>
        <charset val="1"/>
      </rPr>
      <t xml:space="preserve">python run_all.py </t>
    </r>
    <r>
      <rPr>
        <sz val="9"/>
        <color rgb="FF666666"/>
        <rFont val="Noto Sans CJK SC"/>
        <family val="2"/>
      </rPr>
      <t xml:space="preserve">로 다시 실행</t>
    </r>
  </si>
  <si>
    <r>
      <rPr>
        <b val="true"/>
        <sz val="10"/>
        <color rgb="FFFFFFFF"/>
        <rFont val="Noto Sans CJK SC"/>
        <family val="2"/>
      </rPr>
      <t xml:space="preserve">이름 </t>
    </r>
    <r>
      <rPr>
        <b val="true"/>
        <sz val="10"/>
        <color rgb="FFFFFFFF"/>
        <rFont val="맑은 고딕"/>
        <family val="0"/>
        <charset val="1"/>
      </rPr>
      <t xml:space="preserve">(src/gzlib.py)</t>
    </r>
  </si>
  <si>
    <t xml:space="preserve">값</t>
  </si>
  <si>
    <t xml:space="preserve">단위</t>
  </si>
  <si>
    <t xml:space="preserve">의미</t>
  </si>
  <si>
    <t xml:space="preserve">LINK_R</t>
  </si>
  <si>
    <t xml:space="preserve">m</t>
  </si>
  <si>
    <r>
      <rPr>
        <sz val="10"/>
        <rFont val="Noto Sans CJK SC"/>
        <family val="2"/>
      </rPr>
      <t xml:space="preserve">도로로 이 거리 안의 세대 필지끼리 연결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생활권 크기를 정하는 값</t>
    </r>
    <r>
      <rPr>
        <sz val="10"/>
        <rFont val="맑은 고딕"/>
        <family val="0"/>
        <charset val="1"/>
      </rPr>
      <t xml:space="preserve">)</t>
    </r>
  </si>
  <si>
    <t xml:space="preserve">DECAY</t>
  </si>
  <si>
    <r>
      <rPr>
        <sz val="10"/>
        <rFont val="Noto Sans CJK SC"/>
        <family val="2"/>
      </rPr>
      <t xml:space="preserve">연결 강도 </t>
    </r>
    <r>
      <rPr>
        <sz val="10"/>
        <rFont val="맑은 고딕"/>
        <family val="0"/>
        <charset val="1"/>
      </rPr>
      <t xml:space="preserve">= exp(−</t>
    </r>
    <r>
      <rPr>
        <sz val="10"/>
        <rFont val="Noto Sans CJK SC"/>
        <family val="2"/>
      </rPr>
      <t xml:space="preserve">거리</t>
    </r>
    <r>
      <rPr>
        <sz val="10"/>
        <rFont val="맑은 고딕"/>
        <family val="0"/>
        <charset val="1"/>
      </rPr>
      <t xml:space="preserve">/DECAY) × √(</t>
    </r>
    <r>
      <rPr>
        <sz val="10"/>
        <rFont val="Noto Sans CJK SC"/>
        <family val="2"/>
      </rPr>
      <t xml:space="preserve">세대</t>
    </r>
    <r>
      <rPr>
        <sz val="10"/>
        <rFont val="맑은 고딕"/>
        <family val="0"/>
        <charset val="1"/>
      </rPr>
      <t xml:space="preserve">i×</t>
    </r>
    <r>
      <rPr>
        <sz val="10"/>
        <rFont val="Noto Sans CJK SC"/>
        <family val="2"/>
      </rPr>
      <t xml:space="preserve">세대</t>
    </r>
    <r>
      <rPr>
        <sz val="10"/>
        <rFont val="맑은 고딕"/>
        <family val="0"/>
        <charset val="1"/>
      </rPr>
      <t xml:space="preserve">j)</t>
    </r>
  </si>
  <si>
    <t xml:space="preserve">GAMMA</t>
  </si>
  <si>
    <r>
      <rPr>
        <sz val="10"/>
        <rFont val="맑은 고딕"/>
        <family val="0"/>
        <charset val="1"/>
      </rPr>
      <t xml:space="preserve">Louvain </t>
    </r>
    <r>
      <rPr>
        <sz val="10"/>
        <rFont val="Noto Sans CJK SC"/>
        <family val="2"/>
      </rPr>
      <t xml:space="preserve">해상도</t>
    </r>
    <r>
      <rPr>
        <sz val="10"/>
        <rFont val="맑은 고딕"/>
        <family val="0"/>
        <charset val="1"/>
      </rPr>
      <t xml:space="preserve">. 1 = </t>
    </r>
    <r>
      <rPr>
        <sz val="10"/>
        <rFont val="Noto Sans CJK SC"/>
        <family val="2"/>
      </rPr>
      <t xml:space="preserve">표준 </t>
    </r>
    <r>
      <rPr>
        <sz val="10"/>
        <rFont val="맑은 고딕"/>
        <family val="0"/>
        <charset val="1"/>
      </rPr>
      <t xml:space="preserve">modularity (</t>
    </r>
    <r>
      <rPr>
        <sz val="10"/>
        <rFont val="Noto Sans CJK SC"/>
        <family val="2"/>
      </rPr>
      <t xml:space="preserve">조정하지 않음</t>
    </r>
    <r>
      <rPr>
        <sz val="10"/>
        <rFont val="맑은 고딕"/>
        <family val="0"/>
        <charset val="1"/>
      </rPr>
      <t xml:space="preserve">)</t>
    </r>
  </si>
  <si>
    <t xml:space="preserve">SEEDS</t>
  </si>
  <si>
    <t xml:space="preserve">번</t>
  </si>
  <si>
    <r>
      <rPr>
        <sz val="10"/>
        <rFont val="맑은 고딕"/>
        <family val="0"/>
        <charset val="1"/>
      </rPr>
      <t xml:space="preserve">Louvain </t>
    </r>
    <r>
      <rPr>
        <sz val="10"/>
        <rFont val="Noto Sans CJK SC"/>
        <family val="2"/>
      </rPr>
      <t xml:space="preserve">반복 횟수 </t>
    </r>
    <r>
      <rPr>
        <sz val="10"/>
        <rFont val="맑은 고딕"/>
        <family val="0"/>
        <charset val="1"/>
      </rPr>
      <t xml:space="preserve">(modularity </t>
    </r>
    <r>
      <rPr>
        <sz val="10"/>
        <rFont val="Noto Sans CJK SC"/>
        <family val="2"/>
      </rPr>
      <t xml:space="preserve">최고 결과 사용</t>
    </r>
    <r>
      <rPr>
        <sz val="10"/>
        <rFont val="맑은 고딕"/>
        <family val="0"/>
        <charset val="1"/>
      </rPr>
      <t xml:space="preserve">)</t>
    </r>
  </si>
  <si>
    <t xml:space="preserve">ROAD_MIN</t>
  </si>
  <si>
    <r>
      <rPr>
        <sz val="10"/>
        <rFont val="Noto Sans CJK SC"/>
        <family val="2"/>
      </rPr>
      <t xml:space="preserve">대안 지점 등록 도로폭 하한 </t>
    </r>
    <r>
      <rPr>
        <sz val="10"/>
        <rFont val="맑은 고딕"/>
        <family val="0"/>
        <charset val="1"/>
      </rPr>
      <t xml:space="preserve">(5t </t>
    </r>
    <r>
      <rPr>
        <sz val="10"/>
        <rFont val="Noto Sans CJK SC"/>
        <family val="2"/>
      </rPr>
      <t xml:space="preserve">수거차 양방향</t>
    </r>
    <r>
      <rPr>
        <sz val="10"/>
        <rFont val="맑은 고딕"/>
        <family val="0"/>
        <charset val="1"/>
      </rPr>
      <t xml:space="preserve">)</t>
    </r>
  </si>
  <si>
    <t xml:space="preserve">PROTECT_R</t>
  </si>
  <si>
    <t xml:space="preserve">대안 지점 보호구역 대상시설 반경</t>
  </si>
  <si>
    <t xml:space="preserve">STEP</t>
  </si>
  <si>
    <t xml:space="preserve">대안 지점을 찾을 때 도로를 훑는 간격</t>
  </si>
  <si>
    <t xml:space="preserve">ALT_SPACING</t>
  </si>
  <si>
    <r>
      <rPr>
        <sz val="10"/>
        <rFont val="Noto Sans CJK SC"/>
        <family val="2"/>
      </rPr>
      <t xml:space="preserve">대안 </t>
    </r>
    <r>
      <rPr>
        <sz val="10"/>
        <rFont val="맑은 고딕"/>
        <family val="0"/>
        <charset val="1"/>
      </rPr>
      <t xml:space="preserve">1~3</t>
    </r>
    <r>
      <rPr>
        <sz val="10"/>
        <rFont val="Noto Sans CJK SC"/>
        <family val="2"/>
      </rPr>
      <t xml:space="preserve">순위끼리 최소 간격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</si>
</sst>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%"/>
    <numFmt numFmtId="167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6B4A"/>
      <name val="Noto Sans CJK SC"/>
      <family val="2"/>
    </font>
    <font>
      <b val="true"/>
      <sz val="14"/>
      <color rgb="FF1B6B4A"/>
      <name val="맑은 고딕"/>
      <family val="0"/>
      <charset val="1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맑은 고딕"/>
      <family val="0"/>
      <charset val="1"/>
    </font>
    <font>
      <b val="true"/>
      <sz val="10"/>
      <name val="맑은 고딕"/>
      <family val="0"/>
      <charset val="1"/>
    </font>
    <font>
      <b val="true"/>
      <sz val="11"/>
      <color rgb="FF1B6B4A"/>
      <name val="Noto Sans CJK SC"/>
      <family val="2"/>
    </font>
    <font>
      <b val="true"/>
      <sz val="13"/>
      <color rgb="FF1B6B4A"/>
      <name val="Noto Sans CJK SC"/>
      <family val="2"/>
    </font>
    <font>
      <b val="true"/>
      <sz val="13"/>
      <color rgb="FF1B6B4A"/>
      <name val="맑은 고딕"/>
      <family val="0"/>
      <charset val="1"/>
    </font>
    <font>
      <sz val="9"/>
      <color rgb="FF666666"/>
      <name val="Noto Sans CJK SC"/>
      <family val="2"/>
    </font>
    <font>
      <sz val="9"/>
      <color rgb="FF666666"/>
      <name val="맑은 고딕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맑은 고딕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6B4A"/>
        <bgColor rgb="FF008080"/>
      </patternFill>
    </fill>
    <fill>
      <patternFill patternType="solid">
        <fgColor rgb="FFE3F4EC"/>
        <bgColor rgb="FFEAF1FB"/>
      </patternFill>
    </fill>
    <fill>
      <patternFill patternType="solid">
        <fgColor rgb="FFFDEBDD"/>
        <bgColor rgb="FFF2F2F2"/>
      </patternFill>
    </fill>
    <fill>
      <patternFill patternType="solid">
        <fgColor rgb="FFF2F2F2"/>
        <bgColor rgb="FFEAF1FB"/>
      </patternFill>
    </fill>
    <fill>
      <patternFill patternType="solid">
        <fgColor rgb="FFEAF1FB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6B4A"/>
      <rgbColor rgb="FFCCCCCC"/>
      <rgbColor rgb="FF808080"/>
      <rgbColor rgb="FF9999FF"/>
      <rgbColor rgb="FF993366"/>
      <rgbColor rgb="FFFDEBDD"/>
      <rgbColor rgb="FFE3F4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1FB"/>
      <rgbColor rgb="FFF2F2F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0"/>
  </cols>
  <sheetData>
    <row r="1" customFormat="false" ht="21.6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4" t="s">
        <v>4</v>
      </c>
    </row>
    <row r="5" customFormat="false" ht="15" hidden="false" customHeight="false" outlineLevel="0" collapsed="false">
      <c r="A5" s="5" t="s">
        <v>5</v>
      </c>
      <c r="B5" s="4" t="s">
        <v>6</v>
      </c>
    </row>
    <row r="6" customFormat="false" ht="15" hidden="false" customHeight="false" outlineLevel="0" collapsed="false">
      <c r="A6" s="2" t="s">
        <v>7</v>
      </c>
      <c r="B6" s="4" t="s">
        <v>8</v>
      </c>
    </row>
    <row r="7" customFormat="false" ht="15" hidden="false" customHeight="false" outlineLevel="0" collapsed="false">
      <c r="A7" s="2" t="s">
        <v>9</v>
      </c>
      <c r="B7" s="4" t="s">
        <v>10</v>
      </c>
    </row>
    <row r="8" customFormat="false" ht="15" hidden="false" customHeight="false" outlineLevel="0" collapsed="false">
      <c r="A8" s="2" t="s">
        <v>11</v>
      </c>
      <c r="B8" s="4" t="s">
        <v>12</v>
      </c>
    </row>
    <row r="9" customFormat="false" ht="15" hidden="false" customHeight="false" outlineLevel="0" collapsed="false">
      <c r="A9" s="5" t="s">
        <v>13</v>
      </c>
      <c r="B9" s="4" t="s">
        <v>14</v>
      </c>
    </row>
    <row r="10" customFormat="false" ht="15" hidden="false" customHeight="false" outlineLevel="0" collapsed="false">
      <c r="A10" s="2" t="s">
        <v>15</v>
      </c>
      <c r="B10" s="4" t="s">
        <v>16</v>
      </c>
    </row>
    <row r="13" customFormat="false" ht="15" hidden="false" customHeight="false" outlineLevel="0" collapsed="false">
      <c r="A13" s="6" t="s">
        <v>17</v>
      </c>
    </row>
    <row r="14" customFormat="false" ht="15" hidden="false" customHeight="false" outlineLevel="0" collapsed="false">
      <c r="A14" s="2" t="s">
        <v>18</v>
      </c>
      <c r="B14" s="3" t="s">
        <v>19</v>
      </c>
    </row>
    <row r="15" customFormat="false" ht="15" hidden="false" customHeight="false" outlineLevel="0" collapsed="false">
      <c r="A15" s="5" t="s">
        <v>20</v>
      </c>
      <c r="B15" s="4" t="s">
        <v>21</v>
      </c>
    </row>
    <row r="16" customFormat="false" ht="15" hidden="false" customHeight="false" outlineLevel="0" collapsed="false">
      <c r="A16" s="2" t="s">
        <v>22</v>
      </c>
      <c r="B16" s="3" t="s">
        <v>23</v>
      </c>
    </row>
    <row r="17" customFormat="false" ht="15" hidden="false" customHeight="false" outlineLevel="0" collapsed="false">
      <c r="A17" s="2" t="s">
        <v>24</v>
      </c>
      <c r="B17" s="3" t="s">
        <v>25</v>
      </c>
    </row>
    <row r="18" customFormat="false" ht="15" hidden="false" customHeight="false" outlineLevel="0" collapsed="false">
      <c r="A18" s="5" t="s">
        <v>26</v>
      </c>
      <c r="B18" s="3" t="s">
        <v>27</v>
      </c>
    </row>
    <row r="19" customFormat="false" ht="15" hidden="false" customHeight="false" outlineLevel="0" collapsed="false">
      <c r="A19" s="2" t="s">
        <v>28</v>
      </c>
      <c r="B19" s="3" t="s">
        <v>29</v>
      </c>
    </row>
    <row r="20" customFormat="false" ht="15" hidden="false" customHeight="false" outlineLevel="0" collapsed="false">
      <c r="A20" s="2" t="s">
        <v>30</v>
      </c>
      <c r="B20" s="3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9.2"/>
    <col collapsed="false" customWidth="true" hidden="false" outlineLevel="0" max="3" min="3" style="0" width="18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7" min="6" style="0" width="9.2"/>
    <col collapsed="false" customWidth="true" hidden="false" outlineLevel="0" max="8" min="8" style="0" width="12.8"/>
    <col collapsed="false" customWidth="true" hidden="false" outlineLevel="0" max="9" min="9" style="0" width="14.6"/>
    <col collapsed="false" customWidth="true" hidden="false" outlineLevel="0" max="10" min="10" style="0" width="12.8"/>
    <col collapsed="false" customWidth="true" hidden="false" outlineLevel="0" max="13" min="11" style="0" width="11"/>
    <col collapsed="false" customWidth="true" hidden="false" outlineLevel="0" max="14" min="14" style="0" width="14"/>
    <col collapsed="false" customWidth="true" hidden="false" outlineLevel="0" max="15" min="15" style="0" width="11"/>
    <col collapsed="false" customWidth="true" hidden="false" outlineLevel="0" max="16" min="16" style="0" width="12.8"/>
    <col collapsed="false" customWidth="true" hidden="false" outlineLevel="0" max="17" min="17" style="0" width="16.39"/>
    <col collapsed="false" customWidth="true" hidden="false" outlineLevel="0" max="18" min="18" style="0" width="30"/>
    <col collapsed="false" customWidth="true" hidden="false" outlineLevel="0" max="19" min="19" style="0" width="9.2"/>
    <col collapsed="false" customWidth="true" hidden="false" outlineLevel="0" max="21" min="20" style="0" width="9"/>
  </cols>
  <sheetData>
    <row r="1" customFormat="false" ht="20.1" hidden="false" customHeight="false" outlineLevel="0" collapsed="false">
      <c r="A1" s="7" t="s">
        <v>32</v>
      </c>
    </row>
    <row r="2" customFormat="false" ht="15" hidden="false" customHeight="false" outlineLevel="0" collapsed="false">
      <c r="A2" s="8" t="s">
        <v>33</v>
      </c>
    </row>
    <row r="4" customFormat="false" ht="31.5" hidden="false" customHeight="true" outlineLevel="0" collapsed="false">
      <c r="A4" s="9" t="s">
        <v>34</v>
      </c>
      <c r="B4" s="9" t="s">
        <v>35</v>
      </c>
      <c r="C4" s="9" t="s">
        <v>36</v>
      </c>
      <c r="D4" s="9" t="s">
        <v>37</v>
      </c>
      <c r="E4" s="9" t="s">
        <v>38</v>
      </c>
      <c r="F4" s="9" t="s">
        <v>39</v>
      </c>
      <c r="G4" s="9" t="s">
        <v>40</v>
      </c>
      <c r="H4" s="9" t="s">
        <v>41</v>
      </c>
      <c r="I4" s="9" t="s">
        <v>42</v>
      </c>
      <c r="J4" s="9" t="s">
        <v>43</v>
      </c>
      <c r="K4" s="10" t="s">
        <v>44</v>
      </c>
      <c r="L4" s="10" t="s">
        <v>45</v>
      </c>
      <c r="M4" s="10" t="s">
        <v>46</v>
      </c>
      <c r="N4" s="9" t="s">
        <v>47</v>
      </c>
      <c r="O4" s="9" t="s">
        <v>48</v>
      </c>
      <c r="P4" s="9" t="s">
        <v>49</v>
      </c>
      <c r="Q4" s="9" t="s">
        <v>50</v>
      </c>
      <c r="R4" s="9" t="s">
        <v>51</v>
      </c>
      <c r="S4" s="9" t="s">
        <v>52</v>
      </c>
      <c r="T4" s="9" t="s">
        <v>53</v>
      </c>
      <c r="U4" s="9" t="s">
        <v>54</v>
      </c>
    </row>
    <row r="5" customFormat="false" ht="15" hidden="false" customHeight="false" outlineLevel="0" collapsed="false">
      <c r="A5" s="11" t="n">
        <v>1</v>
      </c>
      <c r="B5" s="11" t="s">
        <v>55</v>
      </c>
      <c r="C5" s="11" t="s">
        <v>56</v>
      </c>
      <c r="D5" s="11" t="s">
        <v>57</v>
      </c>
      <c r="E5" s="11" t="s">
        <v>58</v>
      </c>
      <c r="F5" s="12" t="n">
        <v>1038</v>
      </c>
      <c r="G5" s="12" t="n">
        <v>194</v>
      </c>
      <c r="H5" s="12" t="n">
        <v>191.360937913621</v>
      </c>
      <c r="I5" s="12" t="n">
        <v>327.168557738533</v>
      </c>
      <c r="J5" s="12" t="n">
        <v>394.556071238615</v>
      </c>
      <c r="K5" s="13" t="n">
        <v>0.594412331406551</v>
      </c>
      <c r="L5" s="13" t="n">
        <v>0.84971098265896</v>
      </c>
      <c r="M5" s="13" t="n">
        <v>1</v>
      </c>
      <c r="N5" s="14" t="s">
        <v>59</v>
      </c>
      <c r="O5" s="14" t="n">
        <v>13</v>
      </c>
      <c r="P5" s="14" t="s">
        <v>60</v>
      </c>
      <c r="Q5" s="12" t="n">
        <v>242</v>
      </c>
      <c r="R5" s="12" t="n">
        <v>153.753853526825</v>
      </c>
      <c r="S5" s="15" t="b">
        <f aca="false">FALSE()</f>
        <v>0</v>
      </c>
      <c r="T5" s="14" t="n">
        <v>37.535963</v>
      </c>
      <c r="U5" s="14" t="n">
        <v>126.833843</v>
      </c>
    </row>
    <row r="6" customFormat="false" ht="15" hidden="false" customHeight="false" outlineLevel="0" collapsed="false">
      <c r="A6" s="14" t="n">
        <v>2</v>
      </c>
      <c r="B6" s="11" t="s">
        <v>61</v>
      </c>
      <c r="C6" s="11" t="s">
        <v>56</v>
      </c>
      <c r="D6" s="11" t="s">
        <v>62</v>
      </c>
      <c r="E6" s="11" t="s">
        <v>63</v>
      </c>
      <c r="F6" s="12" t="n">
        <v>977</v>
      </c>
      <c r="G6" s="12" t="n">
        <v>221</v>
      </c>
      <c r="H6" s="12" t="n">
        <v>190.424690729884</v>
      </c>
      <c r="I6" s="12" t="n">
        <v>304.377075970911</v>
      </c>
      <c r="J6" s="12" t="n">
        <v>406.976369045118</v>
      </c>
      <c r="K6" s="13" t="n">
        <v>0.552712384851587</v>
      </c>
      <c r="L6" s="13" t="n">
        <v>0.898669396110543</v>
      </c>
      <c r="M6" s="13" t="n">
        <v>0.997952917093142</v>
      </c>
      <c r="N6" s="14" t="s">
        <v>64</v>
      </c>
      <c r="O6" s="14" t="n">
        <v>8</v>
      </c>
      <c r="P6" s="14" t="s">
        <v>60</v>
      </c>
      <c r="Q6" s="12" t="n">
        <v>270</v>
      </c>
      <c r="R6" s="12" t="n">
        <v>136.326167305272</v>
      </c>
      <c r="S6" s="15" t="b">
        <f aca="false">FALSE()</f>
        <v>0</v>
      </c>
      <c r="T6" s="14" t="n">
        <v>37.529539</v>
      </c>
      <c r="U6" s="14" t="n">
        <v>126.836015</v>
      </c>
    </row>
    <row r="7" customFormat="false" ht="15" hidden="false" customHeight="false" outlineLevel="0" collapsed="false">
      <c r="A7" s="14" t="n">
        <v>3</v>
      </c>
      <c r="B7" s="11" t="s">
        <v>65</v>
      </c>
      <c r="C7" s="11" t="s">
        <v>56</v>
      </c>
      <c r="D7" s="11" t="s">
        <v>66</v>
      </c>
      <c r="E7" s="11" t="s">
        <v>67</v>
      </c>
      <c r="F7" s="12" t="n">
        <v>877</v>
      </c>
      <c r="G7" s="12" t="n">
        <v>263</v>
      </c>
      <c r="H7" s="12" t="n">
        <v>276.424705898468</v>
      </c>
      <c r="I7" s="12" t="n">
        <v>406.731686000744</v>
      </c>
      <c r="J7" s="12" t="n">
        <v>474.830234317724</v>
      </c>
      <c r="K7" s="13" t="n">
        <v>0.20866590649943</v>
      </c>
      <c r="L7" s="13" t="n">
        <v>0.597491448118586</v>
      </c>
      <c r="M7" s="13" t="n">
        <v>0.892816419612315</v>
      </c>
      <c r="N7" s="14" t="s">
        <v>68</v>
      </c>
      <c r="O7" s="14" t="n">
        <v>12</v>
      </c>
      <c r="P7" s="14" t="s">
        <v>60</v>
      </c>
      <c r="Q7" s="12" t="n">
        <v>212</v>
      </c>
      <c r="R7" s="12" t="n">
        <v>174.502396676447</v>
      </c>
      <c r="S7" s="15" t="b">
        <f aca="false">FALSE()</f>
        <v>0</v>
      </c>
      <c r="T7" s="14" t="n">
        <v>37.533088</v>
      </c>
      <c r="U7" s="14" t="n">
        <v>126.836284</v>
      </c>
    </row>
    <row r="8" customFormat="false" ht="15" hidden="false" customHeight="false" outlineLevel="0" collapsed="false">
      <c r="A8" s="16" t="n">
        <v>4</v>
      </c>
      <c r="B8" s="16" t="s">
        <v>69</v>
      </c>
      <c r="C8" s="17" t="s">
        <v>70</v>
      </c>
      <c r="D8" s="17" t="s">
        <v>71</v>
      </c>
      <c r="E8" s="17" t="s">
        <v>72</v>
      </c>
      <c r="F8" s="18" t="n">
        <v>876</v>
      </c>
      <c r="G8" s="18" t="n">
        <v>167</v>
      </c>
      <c r="H8" s="18" t="n">
        <v>152.591150059939</v>
      </c>
      <c r="I8" s="18" t="n">
        <v>245.872535711539</v>
      </c>
      <c r="J8" s="18" t="n">
        <v>301.199538102384</v>
      </c>
      <c r="K8" s="19" t="n">
        <v>0.778538812785388</v>
      </c>
      <c r="L8" s="19" t="n">
        <v>0.998858447488584</v>
      </c>
      <c r="M8" s="19" t="n">
        <v>1</v>
      </c>
      <c r="N8" s="17" t="s">
        <v>73</v>
      </c>
      <c r="O8" s="17" t="n">
        <v>7</v>
      </c>
      <c r="P8" s="17" t="s">
        <v>74</v>
      </c>
      <c r="Q8" s="18" t="n">
        <v>454.125365229947</v>
      </c>
      <c r="R8" s="18" t="n">
        <v>152.591150059939</v>
      </c>
      <c r="S8" s="20" t="b">
        <f aca="false">TRUE()</f>
        <v>1</v>
      </c>
      <c r="T8" s="17" t="n">
        <v>37.534572</v>
      </c>
      <c r="U8" s="17" t="n">
        <v>126.831183</v>
      </c>
    </row>
    <row r="9" customFormat="false" ht="15" hidden="false" customHeight="false" outlineLevel="0" collapsed="false">
      <c r="A9" s="14" t="n">
        <v>5</v>
      </c>
      <c r="B9" s="11" t="s">
        <v>75</v>
      </c>
      <c r="C9" s="11" t="s">
        <v>56</v>
      </c>
      <c r="D9" s="11" t="s">
        <v>76</v>
      </c>
      <c r="E9" s="11" t="s">
        <v>77</v>
      </c>
      <c r="F9" s="12" t="n">
        <v>859</v>
      </c>
      <c r="G9" s="12" t="n">
        <v>183</v>
      </c>
      <c r="H9" s="12" t="n">
        <v>197.332475874085</v>
      </c>
      <c r="I9" s="12" t="n">
        <v>377.568068169305</v>
      </c>
      <c r="J9" s="12" t="n">
        <v>459.979985502462</v>
      </c>
      <c r="K9" s="13" t="n">
        <v>0.573923166472643</v>
      </c>
      <c r="L9" s="13" t="n">
        <v>0.824214202561118</v>
      </c>
      <c r="M9" s="13" t="n">
        <v>0.946449359720605</v>
      </c>
      <c r="N9" s="14" t="s">
        <v>78</v>
      </c>
      <c r="O9" s="14" t="n">
        <v>8</v>
      </c>
      <c r="P9" s="14" t="s">
        <v>60</v>
      </c>
      <c r="Q9" s="12" t="n">
        <v>349</v>
      </c>
      <c r="R9" s="12" t="n">
        <v>187.09617539977</v>
      </c>
      <c r="S9" s="15" t="b">
        <f aca="false">FALSE()</f>
        <v>0</v>
      </c>
      <c r="T9" s="14" t="n">
        <v>37.532118</v>
      </c>
      <c r="U9" s="14" t="n">
        <v>126.83215</v>
      </c>
    </row>
    <row r="10" customFormat="false" ht="15" hidden="false" customHeight="false" outlineLevel="0" collapsed="false">
      <c r="A10" s="17" t="n">
        <v>6</v>
      </c>
      <c r="B10" s="16" t="s">
        <v>79</v>
      </c>
      <c r="C10" s="17" t="s">
        <v>70</v>
      </c>
      <c r="D10" s="17" t="s">
        <v>80</v>
      </c>
      <c r="E10" s="17" t="s">
        <v>72</v>
      </c>
      <c r="F10" s="18" t="n">
        <v>708</v>
      </c>
      <c r="G10" s="18" t="n">
        <v>121</v>
      </c>
      <c r="H10" s="18" t="n">
        <v>219.169810145747</v>
      </c>
      <c r="I10" s="18" t="n">
        <v>336.669416790579</v>
      </c>
      <c r="J10" s="18" t="n">
        <v>390.558320007581</v>
      </c>
      <c r="K10" s="19" t="n">
        <v>0.439265536723164</v>
      </c>
      <c r="L10" s="19" t="n">
        <v>0.73728813559322</v>
      </c>
      <c r="M10" s="19" t="n">
        <v>1</v>
      </c>
      <c r="N10" s="17" t="s">
        <v>81</v>
      </c>
      <c r="O10" s="17" t="n">
        <v>19</v>
      </c>
      <c r="P10" s="17" t="s">
        <v>74</v>
      </c>
      <c r="Q10" s="18" t="n">
        <v>200.403334941469</v>
      </c>
      <c r="R10" s="18" t="n">
        <v>219.169810145747</v>
      </c>
      <c r="S10" s="20" t="b">
        <f aca="false">TRUE()</f>
        <v>1</v>
      </c>
      <c r="T10" s="17" t="n">
        <v>37.527541</v>
      </c>
      <c r="U10" s="17" t="n">
        <v>126.836273</v>
      </c>
    </row>
    <row r="11" customFormat="false" ht="15" hidden="false" customHeight="false" outlineLevel="0" collapsed="false">
      <c r="A11" s="17" t="n">
        <v>7</v>
      </c>
      <c r="B11" s="16" t="s">
        <v>82</v>
      </c>
      <c r="C11" s="17" t="s">
        <v>70</v>
      </c>
      <c r="D11" s="17" t="s">
        <v>83</v>
      </c>
      <c r="E11" s="17" t="s">
        <v>72</v>
      </c>
      <c r="F11" s="18" t="n">
        <v>691</v>
      </c>
      <c r="G11" s="18" t="n">
        <v>120</v>
      </c>
      <c r="H11" s="18" t="n">
        <v>129.363378268882</v>
      </c>
      <c r="I11" s="18" t="n">
        <v>201.838037205835</v>
      </c>
      <c r="J11" s="18" t="n">
        <v>283.664653643312</v>
      </c>
      <c r="K11" s="19" t="n">
        <v>0.881331403762663</v>
      </c>
      <c r="L11" s="19" t="n">
        <v>1</v>
      </c>
      <c r="M11" s="19" t="n">
        <v>1</v>
      </c>
      <c r="N11" s="17" t="s">
        <v>64</v>
      </c>
      <c r="O11" s="17" t="n">
        <v>8</v>
      </c>
      <c r="P11" s="17" t="s">
        <v>74</v>
      </c>
      <c r="Q11" s="18" t="n">
        <v>342.991873051485</v>
      </c>
      <c r="R11" s="18" t="n">
        <v>129.363378268882</v>
      </c>
      <c r="S11" s="20" t="b">
        <f aca="false">TRUE()</f>
        <v>1</v>
      </c>
      <c r="T11" s="17" t="n">
        <v>37.527206</v>
      </c>
      <c r="U11" s="17" t="n">
        <v>126.837844</v>
      </c>
    </row>
    <row r="12" customFormat="false" ht="15" hidden="false" customHeight="false" outlineLevel="0" collapsed="false">
      <c r="A12" s="14" t="n">
        <v>8</v>
      </c>
      <c r="B12" s="11" t="s">
        <v>84</v>
      </c>
      <c r="C12" s="11" t="s">
        <v>56</v>
      </c>
      <c r="D12" s="11" t="s">
        <v>85</v>
      </c>
      <c r="E12" s="11" t="s">
        <v>86</v>
      </c>
      <c r="F12" s="12" t="n">
        <v>585</v>
      </c>
      <c r="G12" s="12" t="n">
        <v>162</v>
      </c>
      <c r="H12" s="12" t="n">
        <v>157.660311579403</v>
      </c>
      <c r="I12" s="12" t="n">
        <v>223.400119186829</v>
      </c>
      <c r="J12" s="12" t="n">
        <v>321.699930923388</v>
      </c>
      <c r="K12" s="13" t="n">
        <v>0.772649572649573</v>
      </c>
      <c r="L12" s="13" t="n">
        <v>0.988034188034188</v>
      </c>
      <c r="M12" s="13" t="n">
        <v>1</v>
      </c>
      <c r="N12" s="14" t="s">
        <v>59</v>
      </c>
      <c r="O12" s="14" t="n">
        <v>13</v>
      </c>
      <c r="P12" s="14" t="s">
        <v>60</v>
      </c>
      <c r="Q12" s="12" t="n">
        <v>261</v>
      </c>
      <c r="R12" s="12" t="n">
        <v>157.029402253813</v>
      </c>
      <c r="S12" s="15" t="b">
        <f aca="false">FALSE()</f>
        <v>0</v>
      </c>
      <c r="T12" s="14" t="n">
        <v>37.531428</v>
      </c>
      <c r="U12" s="14" t="n">
        <v>126.836599</v>
      </c>
    </row>
    <row r="13" customFormat="false" ht="15" hidden="false" customHeight="false" outlineLevel="0" collapsed="false">
      <c r="A13" s="14" t="n">
        <v>9</v>
      </c>
      <c r="B13" s="11" t="s">
        <v>87</v>
      </c>
      <c r="C13" s="11" t="s">
        <v>56</v>
      </c>
      <c r="D13" s="11" t="s">
        <v>88</v>
      </c>
      <c r="E13" s="11" t="s">
        <v>89</v>
      </c>
      <c r="F13" s="12" t="n">
        <v>582</v>
      </c>
      <c r="G13" s="12" t="n">
        <v>154</v>
      </c>
      <c r="H13" s="12" t="n">
        <v>235.834116499264</v>
      </c>
      <c r="I13" s="12" t="n">
        <v>348.710488963983</v>
      </c>
      <c r="J13" s="12" t="n">
        <v>417.857937716551</v>
      </c>
      <c r="K13" s="13" t="n">
        <v>0.300687285223368</v>
      </c>
      <c r="L13" s="13" t="n">
        <v>0.666666666666667</v>
      </c>
      <c r="M13" s="13" t="n">
        <v>0.993127147766323</v>
      </c>
      <c r="N13" s="14" t="s">
        <v>90</v>
      </c>
      <c r="O13" s="14" t="n">
        <v>17</v>
      </c>
      <c r="P13" s="14" t="s">
        <v>60</v>
      </c>
      <c r="Q13" s="12" t="n">
        <v>362</v>
      </c>
      <c r="R13" s="12" t="n">
        <v>130.822489871421</v>
      </c>
      <c r="S13" s="15" t="b">
        <f aca="false">FALSE()</f>
        <v>0</v>
      </c>
      <c r="T13" s="14" t="n">
        <v>37.53333</v>
      </c>
      <c r="U13" s="14" t="n">
        <v>126.832772</v>
      </c>
    </row>
    <row r="14" customFormat="false" ht="15" hidden="false" customHeight="false" outlineLevel="0" collapsed="false">
      <c r="A14" s="2" t="s">
        <v>91</v>
      </c>
      <c r="B14" s="2"/>
      <c r="C14" s="2"/>
      <c r="D14" s="2"/>
      <c r="E14" s="2"/>
      <c r="F14" s="21" t="n">
        <f aca="false">SUM(F5:F13)</f>
        <v>7193</v>
      </c>
      <c r="G14" s="21" t="n">
        <f aca="false">SUM(G5:G13)</f>
        <v>1585</v>
      </c>
      <c r="H14" s="21" t="n">
        <f aca="false">SUMPRODUCT(F5:F13,H5:H13)/F14</f>
        <v>195.235582613964</v>
      </c>
      <c r="I14" s="2"/>
      <c r="J14" s="2"/>
      <c r="K14" s="22" t="n">
        <f aca="false">SUMPRODUCT($F5:$F13,K5:K13)/$F14</f>
        <v>0.564715695815376</v>
      </c>
      <c r="L14" s="22" t="n">
        <f aca="false">SUMPRODUCT($F5:$F13,L5:L13)/$F14</f>
        <v>0.840539413318504</v>
      </c>
      <c r="M14" s="22" t="n">
        <f aca="false">SUMPRODUCT($F5:$F13,M5:M13)/$F14</f>
        <v>0.979702488530516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34"/>
    <col collapsed="false" customWidth="true" hidden="false" outlineLevel="0" max="4" min="4" style="0" width="9.2"/>
    <col collapsed="false" customWidth="true" hidden="false" outlineLevel="0" max="6" min="5" style="0" width="9"/>
    <col collapsed="false" customWidth="true" hidden="false" outlineLevel="0" max="7" min="7" style="0" width="20"/>
    <col collapsed="false" customWidth="true" hidden="false" outlineLevel="0" max="8" min="8" style="0" width="18.2"/>
    <col collapsed="false" customWidth="true" hidden="false" outlineLevel="0" max="9" min="9" style="0" width="30"/>
    <col collapsed="false" customWidth="true" hidden="false" outlineLevel="0" max="10" min="10" style="0" width="11"/>
    <col collapsed="false" customWidth="true" hidden="false" outlineLevel="0" max="11" min="11" style="0" width="21.8"/>
    <col collapsed="false" customWidth="true" hidden="false" outlineLevel="0" max="13" min="12" style="0" width="9"/>
  </cols>
  <sheetData>
    <row r="1" customFormat="false" ht="20.1" hidden="false" customHeight="false" outlineLevel="0" collapsed="false">
      <c r="A1" s="23" t="s">
        <v>92</v>
      </c>
    </row>
    <row r="2" customFormat="false" ht="15" hidden="false" customHeight="false" outlineLevel="0" collapsed="false">
      <c r="A2" s="8" t="s">
        <v>93</v>
      </c>
    </row>
    <row r="4" customFormat="false" ht="31.5" hidden="false" customHeight="true" outlineLevel="0" collapsed="false">
      <c r="A4" s="10" t="s">
        <v>94</v>
      </c>
      <c r="B4" s="9" t="s">
        <v>95</v>
      </c>
      <c r="C4" s="9" t="s">
        <v>37</v>
      </c>
      <c r="D4" s="9" t="s">
        <v>96</v>
      </c>
      <c r="E4" s="9" t="s">
        <v>34</v>
      </c>
      <c r="F4" s="9" t="s">
        <v>97</v>
      </c>
      <c r="G4" s="9" t="s">
        <v>98</v>
      </c>
      <c r="H4" s="9" t="s">
        <v>99</v>
      </c>
      <c r="I4" s="9" t="s">
        <v>51</v>
      </c>
      <c r="J4" s="9" t="s">
        <v>100</v>
      </c>
      <c r="K4" s="9" t="s">
        <v>101</v>
      </c>
      <c r="L4" s="9" t="s">
        <v>53</v>
      </c>
      <c r="M4" s="9" t="s">
        <v>54</v>
      </c>
    </row>
    <row r="5" customFormat="false" ht="15" hidden="false" customHeight="false" outlineLevel="0" collapsed="false">
      <c r="A5" s="11" t="s">
        <v>61</v>
      </c>
      <c r="B5" s="14" t="n">
        <v>1</v>
      </c>
      <c r="C5" s="14" t="s">
        <v>102</v>
      </c>
      <c r="D5" s="14" t="s">
        <v>103</v>
      </c>
      <c r="E5" s="14" t="n">
        <v>2</v>
      </c>
      <c r="F5" s="14" t="s">
        <v>18</v>
      </c>
      <c r="G5" s="12" t="n">
        <v>190.424690729884</v>
      </c>
      <c r="H5" s="13" t="n">
        <v>0.898669396110543</v>
      </c>
      <c r="I5" s="12" t="n">
        <v>136.326167305272</v>
      </c>
      <c r="J5" s="14" t="n">
        <v>8</v>
      </c>
      <c r="K5" s="12" t="n">
        <v>270</v>
      </c>
      <c r="L5" s="14" t="n">
        <v>37.529539</v>
      </c>
      <c r="M5" s="14" t="n">
        <v>126.836015</v>
      </c>
    </row>
    <row r="6" customFormat="false" ht="15" hidden="false" customHeight="false" outlineLevel="0" collapsed="false">
      <c r="A6" s="24" t="s">
        <v>104</v>
      </c>
      <c r="B6" s="24" t="n">
        <v>2</v>
      </c>
      <c r="C6" s="25" t="s">
        <v>105</v>
      </c>
      <c r="D6" s="25" t="s">
        <v>103</v>
      </c>
      <c r="E6" s="25" t="n">
        <v>5</v>
      </c>
      <c r="F6" s="25" t="s">
        <v>106</v>
      </c>
      <c r="G6" s="26" t="n">
        <v>332.308327315176</v>
      </c>
      <c r="H6" s="27" t="n">
        <v>0.448195576251455</v>
      </c>
      <c r="I6" s="26" t="n">
        <v>187.09617539977</v>
      </c>
      <c r="J6" s="25" t="n">
        <v>12.5</v>
      </c>
      <c r="K6" s="26" t="n">
        <v>247</v>
      </c>
      <c r="L6" s="25" t="n">
        <v>37.529915</v>
      </c>
      <c r="M6" s="25" t="n">
        <v>126.834359</v>
      </c>
    </row>
    <row r="7" customFormat="false" ht="15" hidden="false" customHeight="false" outlineLevel="0" collapsed="false">
      <c r="A7" s="11" t="s">
        <v>65</v>
      </c>
      <c r="B7" s="14" t="n">
        <v>3</v>
      </c>
      <c r="C7" s="14" t="s">
        <v>107</v>
      </c>
      <c r="D7" s="14" t="s">
        <v>103</v>
      </c>
      <c r="E7" s="14" t="n">
        <v>3</v>
      </c>
      <c r="F7" s="14" t="s">
        <v>18</v>
      </c>
      <c r="G7" s="12" t="n">
        <v>276.424705898468</v>
      </c>
      <c r="H7" s="13" t="n">
        <v>0.597491448118586</v>
      </c>
      <c r="I7" s="12" t="n">
        <v>174.502396676447</v>
      </c>
      <c r="J7" s="14" t="n">
        <v>12</v>
      </c>
      <c r="K7" s="12" t="n">
        <v>212</v>
      </c>
      <c r="L7" s="14" t="n">
        <v>37.533088</v>
      </c>
      <c r="M7" s="14" t="n">
        <v>126.836284</v>
      </c>
    </row>
    <row r="8" customFormat="false" ht="15" hidden="false" customHeight="false" outlineLevel="0" collapsed="false">
      <c r="A8" s="24" t="s">
        <v>108</v>
      </c>
      <c r="B8" s="25" t="n">
        <v>4</v>
      </c>
      <c r="C8" s="25" t="s">
        <v>109</v>
      </c>
      <c r="D8" s="25" t="s">
        <v>103</v>
      </c>
      <c r="E8" s="25" t="n">
        <v>1</v>
      </c>
      <c r="F8" s="25" t="s">
        <v>106</v>
      </c>
      <c r="G8" s="26" t="n">
        <v>316.544183189381</v>
      </c>
      <c r="H8" s="27" t="n">
        <v>0.483622350674374</v>
      </c>
      <c r="I8" s="26" t="n">
        <v>153.753853526825</v>
      </c>
      <c r="J8" s="25" t="n">
        <v>9.5</v>
      </c>
      <c r="K8" s="26" t="n">
        <v>254</v>
      </c>
      <c r="L8" s="25" t="n">
        <v>37.536449</v>
      </c>
      <c r="M8" s="25" t="n">
        <v>126.834076</v>
      </c>
    </row>
    <row r="9" customFormat="false" ht="15" hidden="false" customHeight="false" outlineLevel="0" collapsed="false">
      <c r="A9" s="11" t="s">
        <v>75</v>
      </c>
      <c r="B9" s="14" t="n">
        <v>5</v>
      </c>
      <c r="C9" s="14" t="s">
        <v>110</v>
      </c>
      <c r="D9" s="14" t="s">
        <v>111</v>
      </c>
      <c r="E9" s="14" t="n">
        <v>5</v>
      </c>
      <c r="F9" s="14" t="s">
        <v>18</v>
      </c>
      <c r="G9" s="12" t="n">
        <v>197.332475874085</v>
      </c>
      <c r="H9" s="13" t="n">
        <v>0.824214202561118</v>
      </c>
      <c r="I9" s="12" t="n">
        <v>187.09617539977</v>
      </c>
      <c r="J9" s="14" t="n">
        <v>8</v>
      </c>
      <c r="K9" s="12" t="n">
        <v>349</v>
      </c>
      <c r="L9" s="14" t="n">
        <v>37.532118</v>
      </c>
      <c r="M9" s="14" t="n">
        <v>126.83215</v>
      </c>
    </row>
    <row r="10" customFormat="false" ht="15" hidden="false" customHeight="false" outlineLevel="0" collapsed="false">
      <c r="A10" s="11" t="s">
        <v>55</v>
      </c>
      <c r="B10" s="14" t="n">
        <v>6</v>
      </c>
      <c r="C10" s="14" t="s">
        <v>112</v>
      </c>
      <c r="D10" s="14" t="s">
        <v>111</v>
      </c>
      <c r="E10" s="14" t="n">
        <v>1</v>
      </c>
      <c r="F10" s="14" t="s">
        <v>18</v>
      </c>
      <c r="G10" s="12" t="n">
        <v>191.360937913621</v>
      </c>
      <c r="H10" s="13" t="n">
        <v>0.84971098265896</v>
      </c>
      <c r="I10" s="12" t="n">
        <v>153.753853526825</v>
      </c>
      <c r="J10" s="14" t="n">
        <v>13</v>
      </c>
      <c r="K10" s="12" t="n">
        <v>242</v>
      </c>
      <c r="L10" s="14" t="n">
        <v>37.535963</v>
      </c>
      <c r="M10" s="14" t="n">
        <v>126.833843</v>
      </c>
    </row>
    <row r="11" customFormat="false" ht="15" hidden="false" customHeight="false" outlineLevel="0" collapsed="false">
      <c r="A11" s="11" t="s">
        <v>84</v>
      </c>
      <c r="B11" s="14" t="n">
        <v>7</v>
      </c>
      <c r="C11" s="14" t="s">
        <v>113</v>
      </c>
      <c r="D11" s="14" t="s">
        <v>114</v>
      </c>
      <c r="E11" s="14" t="n">
        <v>8</v>
      </c>
      <c r="F11" s="14" t="s">
        <v>18</v>
      </c>
      <c r="G11" s="12" t="n">
        <v>157.660311579403</v>
      </c>
      <c r="H11" s="13" t="n">
        <v>0.988034188034188</v>
      </c>
      <c r="I11" s="12" t="n">
        <v>157.029402253813</v>
      </c>
      <c r="J11" s="14" t="n">
        <v>13</v>
      </c>
      <c r="K11" s="12" t="n">
        <v>261</v>
      </c>
      <c r="L11" s="14" t="n">
        <v>37.531428</v>
      </c>
      <c r="M11" s="14" t="n">
        <v>126.836599</v>
      </c>
    </row>
    <row r="12" customFormat="false" ht="15" hidden="false" customHeight="false" outlineLevel="0" collapsed="false">
      <c r="A12" s="24" t="s">
        <v>115</v>
      </c>
      <c r="B12" s="25" t="n">
        <v>8</v>
      </c>
      <c r="C12" s="25" t="s">
        <v>116</v>
      </c>
      <c r="D12" s="25" t="s">
        <v>114</v>
      </c>
      <c r="E12" s="25" t="n">
        <v>2</v>
      </c>
      <c r="F12" s="25" t="s">
        <v>106</v>
      </c>
      <c r="G12" s="26" t="n">
        <v>226.349328094161</v>
      </c>
      <c r="H12" s="27" t="n">
        <v>0.814738996929376</v>
      </c>
      <c r="I12" s="26" t="n">
        <v>136.326167305272</v>
      </c>
      <c r="J12" s="25" t="n">
        <v>16</v>
      </c>
      <c r="K12" s="26" t="n">
        <v>253</v>
      </c>
      <c r="L12" s="25" t="n">
        <v>37.529297</v>
      </c>
      <c r="M12" s="25" t="n">
        <v>126.838139</v>
      </c>
    </row>
    <row r="13" customFormat="false" ht="15" hidden="false" customHeight="false" outlineLevel="0" collapsed="false">
      <c r="A13" s="24" t="s">
        <v>117</v>
      </c>
      <c r="B13" s="25" t="n">
        <v>9</v>
      </c>
      <c r="C13" s="25" t="s">
        <v>118</v>
      </c>
      <c r="D13" s="25" t="s">
        <v>114</v>
      </c>
      <c r="E13" s="25" t="n">
        <v>5</v>
      </c>
      <c r="F13" s="25" t="s">
        <v>106</v>
      </c>
      <c r="G13" s="26" t="n">
        <v>329.82999904837</v>
      </c>
      <c r="H13" s="27" t="n">
        <v>0.470314318975553</v>
      </c>
      <c r="I13" s="26" t="n">
        <v>187.09617539977</v>
      </c>
      <c r="J13" s="25" t="n">
        <v>15</v>
      </c>
      <c r="K13" s="26" t="n">
        <v>229</v>
      </c>
      <c r="L13" s="25" t="n">
        <v>37.529558</v>
      </c>
      <c r="M13" s="25" t="n">
        <v>126.832873</v>
      </c>
    </row>
    <row r="14" customFormat="false" ht="15" hidden="false" customHeight="false" outlineLevel="0" collapsed="false">
      <c r="A14" s="11" t="s">
        <v>87</v>
      </c>
      <c r="B14" s="14" t="n">
        <v>10</v>
      </c>
      <c r="C14" s="14" t="s">
        <v>119</v>
      </c>
      <c r="D14" s="14" t="s">
        <v>114</v>
      </c>
      <c r="E14" s="14" t="n">
        <v>9</v>
      </c>
      <c r="F14" s="14" t="s">
        <v>18</v>
      </c>
      <c r="G14" s="12" t="n">
        <v>235.834116499264</v>
      </c>
      <c r="H14" s="13" t="n">
        <v>0.666666666666667</v>
      </c>
      <c r="I14" s="12" t="n">
        <v>130.822489871421</v>
      </c>
      <c r="J14" s="14" t="n">
        <v>17</v>
      </c>
      <c r="K14" s="12" t="n">
        <v>362</v>
      </c>
      <c r="L14" s="14" t="n">
        <v>37.53333</v>
      </c>
      <c r="M14" s="14" t="n">
        <v>126.832772</v>
      </c>
    </row>
    <row r="15" customFormat="false" ht="15" hidden="false" customHeight="false" outlineLevel="0" collapsed="false">
      <c r="A15" s="24" t="s">
        <v>120</v>
      </c>
      <c r="B15" s="25" t="n">
        <v>11</v>
      </c>
      <c r="C15" s="25" t="s">
        <v>121</v>
      </c>
      <c r="D15" s="25" t="s">
        <v>114</v>
      </c>
      <c r="E15" s="25" t="n">
        <v>8</v>
      </c>
      <c r="F15" s="25" t="s">
        <v>106</v>
      </c>
      <c r="G15" s="26" t="n">
        <v>233.389019667806</v>
      </c>
      <c r="H15" s="27" t="n">
        <v>0.822222222222222</v>
      </c>
      <c r="I15" s="26" t="n">
        <v>157.029402253813</v>
      </c>
      <c r="J15" s="25" t="n">
        <v>12</v>
      </c>
      <c r="K15" s="26" t="n">
        <v>217</v>
      </c>
      <c r="L15" s="25" t="n">
        <v>37.531777</v>
      </c>
      <c r="M15" s="25" t="n">
        <v>126.837164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9"/>
    <col collapsed="false" customWidth="true" hidden="false" outlineLevel="0" max="6" min="6" style="0" width="14.6"/>
    <col collapsed="false" customWidth="true" hidden="false" outlineLevel="0" max="7" min="7" style="0" width="9.2"/>
    <col collapsed="false" customWidth="true" hidden="false" outlineLevel="0" max="8" min="8" style="0" width="30"/>
    <col collapsed="false" customWidth="true" hidden="false" outlineLevel="0" max="9" min="9" style="0" width="28"/>
    <col collapsed="false" customWidth="true" hidden="false" outlineLevel="0" max="10" min="10" style="0" width="16.39"/>
    <col collapsed="false" customWidth="true" hidden="false" outlineLevel="0" max="11" min="11" style="0" width="14.6"/>
    <col collapsed="false" customWidth="true" hidden="false" outlineLevel="0" max="12" min="12" style="0" width="20"/>
    <col collapsed="false" customWidth="true" hidden="false" outlineLevel="0" max="14" min="13" style="0" width="18.2"/>
    <col collapsed="false" customWidth="true" hidden="false" outlineLevel="0" max="16" min="15" style="0" width="9"/>
  </cols>
  <sheetData>
    <row r="1" customFormat="false" ht="20.1" hidden="false" customHeight="false" outlineLevel="0" collapsed="false">
      <c r="A1" s="7" t="s">
        <v>122</v>
      </c>
    </row>
    <row r="2" customFormat="false" ht="15" hidden="false" customHeight="false" outlineLevel="0" collapsed="false">
      <c r="A2" s="8" t="s">
        <v>123</v>
      </c>
    </row>
    <row r="4" customFormat="false" ht="31.5" hidden="false" customHeight="true" outlineLevel="0" collapsed="false">
      <c r="A4" s="10" t="s">
        <v>94</v>
      </c>
      <c r="B4" s="9" t="s">
        <v>124</v>
      </c>
      <c r="C4" s="9" t="s">
        <v>34</v>
      </c>
      <c r="D4" s="9" t="s">
        <v>125</v>
      </c>
      <c r="E4" s="9" t="s">
        <v>126</v>
      </c>
      <c r="F4" s="9" t="s">
        <v>127</v>
      </c>
      <c r="G4" s="9" t="s">
        <v>128</v>
      </c>
      <c r="H4" s="9" t="s">
        <v>129</v>
      </c>
      <c r="I4" s="9" t="s">
        <v>130</v>
      </c>
      <c r="J4" s="9" t="s">
        <v>50</v>
      </c>
      <c r="K4" s="9" t="s">
        <v>131</v>
      </c>
      <c r="L4" s="9" t="s">
        <v>98</v>
      </c>
      <c r="M4" s="9" t="s">
        <v>99</v>
      </c>
      <c r="N4" s="9" t="s">
        <v>132</v>
      </c>
      <c r="O4" s="9" t="s">
        <v>53</v>
      </c>
      <c r="P4" s="9" t="s">
        <v>54</v>
      </c>
    </row>
    <row r="5" customFormat="false" ht="15" hidden="false" customHeight="false" outlineLevel="0" collapsed="false">
      <c r="A5" s="16" t="s">
        <v>69</v>
      </c>
      <c r="B5" s="17" t="s">
        <v>133</v>
      </c>
      <c r="C5" s="17" t="n">
        <v>4</v>
      </c>
      <c r="D5" s="17" t="n">
        <v>1</v>
      </c>
      <c r="E5" s="17" t="s">
        <v>73</v>
      </c>
      <c r="F5" s="17" t="n">
        <v>7</v>
      </c>
      <c r="G5" s="17" t="s">
        <v>134</v>
      </c>
      <c r="H5" s="17" t="s">
        <v>135</v>
      </c>
      <c r="I5" s="17" t="s">
        <v>136</v>
      </c>
      <c r="J5" s="18" t="n">
        <v>454.125365229947</v>
      </c>
      <c r="K5" s="18" t="n">
        <v>5.36166297480826</v>
      </c>
      <c r="L5" s="18" t="n">
        <v>152.591150059939</v>
      </c>
      <c r="M5" s="19" t="n">
        <v>0.998858447488584</v>
      </c>
      <c r="N5" s="17" t="n">
        <v>92</v>
      </c>
      <c r="O5" s="17" t="n">
        <v>37.534572</v>
      </c>
      <c r="P5" s="17" t="n">
        <v>126.831183</v>
      </c>
    </row>
    <row r="6" customFormat="false" ht="15" hidden="false" customHeight="false" outlineLevel="0" collapsed="false">
      <c r="A6" s="16" t="s">
        <v>137</v>
      </c>
      <c r="B6" s="17" t="s">
        <v>133</v>
      </c>
      <c r="C6" s="17" t="n">
        <v>4</v>
      </c>
      <c r="D6" s="17" t="n">
        <v>2</v>
      </c>
      <c r="E6" s="17" t="s">
        <v>90</v>
      </c>
      <c r="F6" s="17" t="n">
        <v>17</v>
      </c>
      <c r="G6" s="17" t="s">
        <v>134</v>
      </c>
      <c r="H6" s="17" t="s">
        <v>138</v>
      </c>
      <c r="I6" s="17" t="s">
        <v>136</v>
      </c>
      <c r="J6" s="18" t="n">
        <v>380.001802542305</v>
      </c>
      <c r="K6" s="18" t="n">
        <v>5.57818065496223</v>
      </c>
      <c r="L6" s="18" t="n">
        <v>165.336027919581</v>
      </c>
      <c r="M6" s="19" t="n">
        <v>0.920091324200913</v>
      </c>
      <c r="N6" s="17" t="n">
        <v>92</v>
      </c>
      <c r="O6" s="17" t="n">
        <v>37.53415</v>
      </c>
      <c r="P6" s="17" t="n">
        <v>126.832127</v>
      </c>
    </row>
    <row r="7" customFormat="false" ht="15" hidden="false" customHeight="false" outlineLevel="0" collapsed="false">
      <c r="A7" s="16" t="s">
        <v>139</v>
      </c>
      <c r="B7" s="17" t="s">
        <v>133</v>
      </c>
      <c r="C7" s="17" t="n">
        <v>4</v>
      </c>
      <c r="D7" s="17" t="n">
        <v>3</v>
      </c>
      <c r="E7" s="17" t="s">
        <v>73</v>
      </c>
      <c r="F7" s="17" t="n">
        <v>7</v>
      </c>
      <c r="G7" s="17" t="s">
        <v>134</v>
      </c>
      <c r="H7" s="17" t="s">
        <v>140</v>
      </c>
      <c r="I7" s="17" t="s">
        <v>141</v>
      </c>
      <c r="J7" s="18" t="n">
        <v>458.461696037625</v>
      </c>
      <c r="K7" s="18" t="n">
        <v>2.79510564582314</v>
      </c>
      <c r="L7" s="18" t="n">
        <v>173.389370123845</v>
      </c>
      <c r="M7" s="19" t="n">
        <v>0.997716894977169</v>
      </c>
      <c r="N7" s="17" t="n">
        <v>92</v>
      </c>
      <c r="O7" s="17" t="n">
        <v>37.533599</v>
      </c>
      <c r="P7" s="17" t="n">
        <v>126.830943</v>
      </c>
    </row>
    <row r="8" customFormat="false" ht="15" hidden="false" customHeight="false" outlineLevel="0" collapsed="false">
      <c r="A8" s="16" t="s">
        <v>79</v>
      </c>
      <c r="B8" s="17" t="s">
        <v>133</v>
      </c>
      <c r="C8" s="17" t="n">
        <v>6</v>
      </c>
      <c r="D8" s="17" t="n">
        <v>1</v>
      </c>
      <c r="E8" s="17" t="s">
        <v>81</v>
      </c>
      <c r="F8" s="17" t="n">
        <v>19</v>
      </c>
      <c r="G8" s="17" t="s">
        <v>134</v>
      </c>
      <c r="H8" s="17" t="s">
        <v>142</v>
      </c>
      <c r="I8" s="17" t="s">
        <v>143</v>
      </c>
      <c r="J8" s="18" t="n">
        <v>200.403334941469</v>
      </c>
      <c r="K8" s="18" t="n">
        <v>13.4193963416197</v>
      </c>
      <c r="L8" s="18" t="n">
        <v>219.169810145747</v>
      </c>
      <c r="M8" s="19" t="n">
        <v>0.73728813559322</v>
      </c>
      <c r="N8" s="17" t="n">
        <v>20</v>
      </c>
      <c r="O8" s="17" t="n">
        <v>37.527541</v>
      </c>
      <c r="P8" s="17" t="n">
        <v>126.836273</v>
      </c>
    </row>
    <row r="9" customFormat="false" ht="15" hidden="false" customHeight="false" outlineLevel="0" collapsed="false">
      <c r="A9" s="16" t="s">
        <v>144</v>
      </c>
      <c r="B9" s="17" t="s">
        <v>133</v>
      </c>
      <c r="C9" s="17" t="n">
        <v>6</v>
      </c>
      <c r="D9" s="17" t="n">
        <v>2</v>
      </c>
      <c r="E9" s="17" t="s">
        <v>145</v>
      </c>
      <c r="F9" s="17" t="n">
        <v>9</v>
      </c>
      <c r="G9" s="17" t="s">
        <v>134</v>
      </c>
      <c r="H9" s="17" t="s">
        <v>146</v>
      </c>
      <c r="I9" s="17" t="s">
        <v>143</v>
      </c>
      <c r="J9" s="18" t="n">
        <v>207.928776040576</v>
      </c>
      <c r="K9" s="18" t="n">
        <v>8.48195472753393</v>
      </c>
      <c r="L9" s="18" t="n">
        <v>250.023090299146</v>
      </c>
      <c r="M9" s="19" t="n">
        <v>0.570621468926554</v>
      </c>
      <c r="N9" s="17" t="n">
        <v>20</v>
      </c>
      <c r="O9" s="17" t="n">
        <v>37.526745</v>
      </c>
      <c r="P9" s="17" t="n">
        <v>126.836035</v>
      </c>
    </row>
    <row r="10" customFormat="false" ht="15" hidden="false" customHeight="false" outlineLevel="0" collapsed="false">
      <c r="A10" s="16" t="s">
        <v>147</v>
      </c>
      <c r="B10" s="17" t="s">
        <v>133</v>
      </c>
      <c r="C10" s="17" t="n">
        <v>6</v>
      </c>
      <c r="D10" s="17" t="n">
        <v>3</v>
      </c>
      <c r="E10" s="17" t="s">
        <v>81</v>
      </c>
      <c r="F10" s="17" t="n">
        <v>19</v>
      </c>
      <c r="G10" s="17" t="s">
        <v>134</v>
      </c>
      <c r="H10" s="17" t="s">
        <v>148</v>
      </c>
      <c r="I10" s="17" t="s">
        <v>143</v>
      </c>
      <c r="J10" s="18" t="n">
        <v>259.516882361151</v>
      </c>
      <c r="K10" s="18" t="n">
        <v>26.9940743398787</v>
      </c>
      <c r="L10" s="18" t="n">
        <v>288.030235529428</v>
      </c>
      <c r="M10" s="19" t="n">
        <v>0.507062146892655</v>
      </c>
      <c r="N10" s="17" t="n">
        <v>20</v>
      </c>
      <c r="O10" s="17" t="n">
        <v>37.526816</v>
      </c>
      <c r="P10" s="17" t="n">
        <v>126.836731</v>
      </c>
    </row>
    <row r="11" customFormat="false" ht="15" hidden="false" customHeight="false" outlineLevel="0" collapsed="false">
      <c r="A11" s="16" t="s">
        <v>82</v>
      </c>
      <c r="B11" s="17" t="s">
        <v>133</v>
      </c>
      <c r="C11" s="17" t="n">
        <v>7</v>
      </c>
      <c r="D11" s="17" t="n">
        <v>1</v>
      </c>
      <c r="E11" s="17" t="s">
        <v>64</v>
      </c>
      <c r="F11" s="17" t="n">
        <v>8</v>
      </c>
      <c r="G11" s="17" t="s">
        <v>134</v>
      </c>
      <c r="H11" s="17" t="s">
        <v>149</v>
      </c>
      <c r="I11" s="17" t="s">
        <v>143</v>
      </c>
      <c r="J11" s="18" t="n">
        <v>342.991873051485</v>
      </c>
      <c r="K11" s="18" t="n">
        <v>4.61911786083514</v>
      </c>
      <c r="L11" s="18" t="n">
        <v>129.363378268882</v>
      </c>
      <c r="M11" s="19" t="n">
        <v>1</v>
      </c>
      <c r="N11" s="17" t="n">
        <v>72</v>
      </c>
      <c r="O11" s="17" t="n">
        <v>37.527206</v>
      </c>
      <c r="P11" s="17" t="n">
        <v>126.837844</v>
      </c>
    </row>
    <row r="12" customFormat="false" ht="15" hidden="false" customHeight="false" outlineLevel="0" collapsed="false">
      <c r="A12" s="16" t="s">
        <v>150</v>
      </c>
      <c r="B12" s="17" t="s">
        <v>133</v>
      </c>
      <c r="C12" s="17" t="n">
        <v>7</v>
      </c>
      <c r="D12" s="17" t="n">
        <v>2</v>
      </c>
      <c r="E12" s="17" t="s">
        <v>151</v>
      </c>
      <c r="F12" s="17" t="n">
        <v>7</v>
      </c>
      <c r="G12" s="17" t="s">
        <v>134</v>
      </c>
      <c r="H12" s="17" t="s">
        <v>152</v>
      </c>
      <c r="I12" s="17" t="s">
        <v>153</v>
      </c>
      <c r="J12" s="18" t="n">
        <v>309.386314019432</v>
      </c>
      <c r="K12" s="18" t="n">
        <v>24.8112534423744</v>
      </c>
      <c r="L12" s="18" t="n">
        <v>141.189153589137</v>
      </c>
      <c r="M12" s="19" t="n">
        <v>1</v>
      </c>
      <c r="N12" s="17" t="n">
        <v>72</v>
      </c>
      <c r="O12" s="17" t="n">
        <v>37.526854</v>
      </c>
      <c r="P12" s="17" t="n">
        <v>126.83836</v>
      </c>
    </row>
    <row r="13" customFormat="false" ht="15" hidden="false" customHeight="false" outlineLevel="0" collapsed="false">
      <c r="A13" s="16" t="s">
        <v>154</v>
      </c>
      <c r="B13" s="17" t="s">
        <v>133</v>
      </c>
      <c r="C13" s="17" t="n">
        <v>7</v>
      </c>
      <c r="D13" s="17" t="n">
        <v>3</v>
      </c>
      <c r="E13" s="17" t="s">
        <v>151</v>
      </c>
      <c r="F13" s="17" t="n">
        <v>7</v>
      </c>
      <c r="G13" s="17" t="s">
        <v>134</v>
      </c>
      <c r="H13" s="17" t="s">
        <v>155</v>
      </c>
      <c r="I13" s="17" t="s">
        <v>153</v>
      </c>
      <c r="J13" s="18" t="n">
        <v>256.223206077682</v>
      </c>
      <c r="K13" s="18" t="n">
        <v>27.0441416437533</v>
      </c>
      <c r="L13" s="18" t="n">
        <v>155.077952505855</v>
      </c>
      <c r="M13" s="19" t="n">
        <v>1</v>
      </c>
      <c r="N13" s="17" t="n">
        <v>72</v>
      </c>
      <c r="O13" s="17" t="n">
        <v>37.526986</v>
      </c>
      <c r="P13" s="17" t="n">
        <v>126.839135</v>
      </c>
    </row>
    <row r="14" customFormat="false" ht="15" hidden="false" customHeight="false" outlineLevel="0" collapsed="false">
      <c r="A14" s="28" t="s">
        <v>156</v>
      </c>
      <c r="B14" s="29" t="s">
        <v>157</v>
      </c>
      <c r="C14" s="29" t="n">
        <v>1</v>
      </c>
      <c r="D14" s="29" t="n">
        <v>1</v>
      </c>
      <c r="E14" s="29" t="s">
        <v>158</v>
      </c>
      <c r="F14" s="29" t="n">
        <v>7</v>
      </c>
      <c r="G14" s="29" t="s">
        <v>134</v>
      </c>
      <c r="H14" s="29" t="s">
        <v>159</v>
      </c>
      <c r="I14" s="29" t="s">
        <v>136</v>
      </c>
      <c r="J14" s="30" t="n">
        <v>342.71769250256</v>
      </c>
      <c r="K14" s="30" t="n">
        <v>0.496185868037012</v>
      </c>
      <c r="L14" s="30" t="n">
        <v>153.753853526825</v>
      </c>
      <c r="M14" s="31" t="n">
        <v>0.966281310211946</v>
      </c>
      <c r="N14" s="29" t="n">
        <v>64</v>
      </c>
      <c r="O14" s="29" t="n">
        <v>37.535863</v>
      </c>
      <c r="P14" s="29" t="n">
        <v>126.832573</v>
      </c>
    </row>
    <row r="15" customFormat="false" ht="15" hidden="false" customHeight="false" outlineLevel="0" collapsed="false">
      <c r="A15" s="28" t="s">
        <v>160</v>
      </c>
      <c r="B15" s="29" t="s">
        <v>157</v>
      </c>
      <c r="C15" s="29" t="n">
        <v>2</v>
      </c>
      <c r="D15" s="29" t="n">
        <v>1</v>
      </c>
      <c r="E15" s="29" t="s">
        <v>64</v>
      </c>
      <c r="F15" s="29" t="n">
        <v>8</v>
      </c>
      <c r="G15" s="29" t="s">
        <v>134</v>
      </c>
      <c r="H15" s="29" t="s">
        <v>161</v>
      </c>
      <c r="I15" s="29" t="s">
        <v>143</v>
      </c>
      <c r="J15" s="30" t="n">
        <v>281.663644756719</v>
      </c>
      <c r="K15" s="30" t="n">
        <v>6.39455518057201</v>
      </c>
      <c r="L15" s="30" t="n">
        <v>136.326167305272</v>
      </c>
      <c r="M15" s="31" t="n">
        <v>1</v>
      </c>
      <c r="N15" s="29" t="n">
        <v>76</v>
      </c>
      <c r="O15" s="29" t="n">
        <v>37.528991</v>
      </c>
      <c r="P15" s="29" t="n">
        <v>126.836762</v>
      </c>
    </row>
    <row r="16" customFormat="false" ht="15" hidden="false" customHeight="false" outlineLevel="0" collapsed="false">
      <c r="A16" s="28" t="s">
        <v>162</v>
      </c>
      <c r="B16" s="29" t="s">
        <v>157</v>
      </c>
      <c r="C16" s="29" t="n">
        <v>3</v>
      </c>
      <c r="D16" s="29" t="n">
        <v>1</v>
      </c>
      <c r="E16" s="29" t="s">
        <v>163</v>
      </c>
      <c r="F16" s="29" t="n">
        <v>7</v>
      </c>
      <c r="G16" s="29" t="s">
        <v>134</v>
      </c>
      <c r="H16" s="29" t="s">
        <v>164</v>
      </c>
      <c r="I16" s="29" t="s">
        <v>136</v>
      </c>
      <c r="J16" s="30" t="n">
        <v>235.963756747034</v>
      </c>
      <c r="K16" s="30" t="n">
        <v>4.39726063710598</v>
      </c>
      <c r="L16" s="30" t="n">
        <v>174.502396676447</v>
      </c>
      <c r="M16" s="31" t="n">
        <v>0.961231470923603</v>
      </c>
      <c r="N16" s="29" t="n">
        <v>44</v>
      </c>
      <c r="O16" s="29" t="n">
        <v>37.53322</v>
      </c>
      <c r="P16" s="29" t="n">
        <v>126.834822</v>
      </c>
    </row>
    <row r="17" customFormat="false" ht="15" hidden="false" customHeight="false" outlineLevel="0" collapsed="false">
      <c r="A17" s="28" t="s">
        <v>165</v>
      </c>
      <c r="B17" s="29" t="s">
        <v>157</v>
      </c>
      <c r="C17" s="29" t="n">
        <v>5</v>
      </c>
      <c r="D17" s="29" t="n">
        <v>1</v>
      </c>
      <c r="E17" s="29" t="s">
        <v>78</v>
      </c>
      <c r="F17" s="29" t="n">
        <v>8</v>
      </c>
      <c r="G17" s="29" t="s">
        <v>134</v>
      </c>
      <c r="H17" s="29" t="s">
        <v>166</v>
      </c>
      <c r="I17" s="29" t="s">
        <v>141</v>
      </c>
      <c r="J17" s="30" t="n">
        <v>380.337913317918</v>
      </c>
      <c r="K17" s="30" t="n">
        <v>1.49912662465839</v>
      </c>
      <c r="L17" s="30" t="n">
        <v>187.09617539977</v>
      </c>
      <c r="M17" s="31" t="n">
        <v>0.835855646100116</v>
      </c>
      <c r="N17" s="29" t="n">
        <v>52</v>
      </c>
      <c r="O17" s="29" t="n">
        <v>37.5323</v>
      </c>
      <c r="P17" s="29" t="n">
        <v>126.832446</v>
      </c>
    </row>
    <row r="18" customFormat="false" ht="15" hidden="false" customHeight="false" outlineLevel="0" collapsed="false">
      <c r="A18" s="28" t="s">
        <v>167</v>
      </c>
      <c r="B18" s="29" t="s">
        <v>157</v>
      </c>
      <c r="C18" s="29" t="n">
        <v>8</v>
      </c>
      <c r="D18" s="29" t="n">
        <v>1</v>
      </c>
      <c r="E18" s="29" t="s">
        <v>59</v>
      </c>
      <c r="F18" s="29" t="n">
        <v>13</v>
      </c>
      <c r="G18" s="29" t="s">
        <v>134</v>
      </c>
      <c r="H18" s="29" t="s">
        <v>168</v>
      </c>
      <c r="I18" s="29" t="s">
        <v>169</v>
      </c>
      <c r="J18" s="30" t="n">
        <v>251.303805338031</v>
      </c>
      <c r="K18" s="30" t="n">
        <v>0.700220163038738</v>
      </c>
      <c r="L18" s="30" t="n">
        <v>157.029402253813</v>
      </c>
      <c r="M18" s="31" t="n">
        <v>0.988034188034188</v>
      </c>
      <c r="N18" s="29" t="n">
        <v>55</v>
      </c>
      <c r="O18" s="29" t="n">
        <v>37.53143</v>
      </c>
      <c r="P18" s="29" t="n">
        <v>126.836706</v>
      </c>
    </row>
    <row r="19" customFormat="false" ht="15" hidden="false" customHeight="false" outlineLevel="0" collapsed="false">
      <c r="A19" s="28" t="s">
        <v>170</v>
      </c>
      <c r="B19" s="29" t="s">
        <v>157</v>
      </c>
      <c r="C19" s="29" t="n">
        <v>9</v>
      </c>
      <c r="D19" s="29" t="n">
        <v>1</v>
      </c>
      <c r="E19" s="29" t="s">
        <v>163</v>
      </c>
      <c r="F19" s="29" t="n">
        <v>7</v>
      </c>
      <c r="G19" s="29" t="s">
        <v>134</v>
      </c>
      <c r="H19" s="29" t="s">
        <v>171</v>
      </c>
      <c r="I19" s="29" t="s">
        <v>136</v>
      </c>
      <c r="J19" s="30" t="n">
        <v>326.086873712358</v>
      </c>
      <c r="K19" s="30" t="n">
        <v>4.81857518864793</v>
      </c>
      <c r="L19" s="30" t="n">
        <v>130.822489871421</v>
      </c>
      <c r="M19" s="31" t="n">
        <v>1</v>
      </c>
      <c r="N19" s="29" t="n">
        <v>46</v>
      </c>
      <c r="O19" s="29" t="n">
        <v>37.532825</v>
      </c>
      <c r="P19" s="29" t="n">
        <v>126.833806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3" min="3" style="0" width="12.8"/>
    <col collapsed="false" customWidth="true" hidden="false" outlineLevel="0" max="4" min="4" style="0" width="14.6"/>
    <col collapsed="false" customWidth="true" hidden="false" outlineLevel="0" max="5" min="5" style="0" width="12.8"/>
    <col collapsed="false" customWidth="true" hidden="false" outlineLevel="0" max="8" min="6" style="0" width="11"/>
  </cols>
  <sheetData>
    <row r="1" customFormat="false" ht="20.1" hidden="false" customHeight="false" outlineLevel="0" collapsed="false">
      <c r="A1" s="7" t="s">
        <v>172</v>
      </c>
    </row>
    <row r="2" customFormat="false" ht="15" hidden="false" customHeight="false" outlineLevel="0" collapsed="false">
      <c r="A2" s="8" t="s">
        <v>173</v>
      </c>
    </row>
    <row r="4" customFormat="false" ht="31.5" hidden="false" customHeight="true" outlineLevel="0" collapsed="false">
      <c r="A4" s="9" t="s">
        <v>174</v>
      </c>
      <c r="B4" s="9" t="s">
        <v>175</v>
      </c>
      <c r="C4" s="9" t="s">
        <v>41</v>
      </c>
      <c r="D4" s="9" t="s">
        <v>176</v>
      </c>
      <c r="E4" s="9" t="s">
        <v>43</v>
      </c>
      <c r="F4" s="10" t="s">
        <v>44</v>
      </c>
      <c r="G4" s="10" t="s">
        <v>45</v>
      </c>
      <c r="H4" s="10" t="s">
        <v>46</v>
      </c>
    </row>
    <row r="5" customFormat="false" ht="15" hidden="false" customHeight="false" outlineLevel="0" collapsed="false">
      <c r="A5" s="32" t="s">
        <v>177</v>
      </c>
      <c r="B5" s="32" t="n">
        <v>9</v>
      </c>
      <c r="C5" s="33" t="n">
        <v>195.235582613964</v>
      </c>
      <c r="D5" s="33" t="n">
        <v>334.77834038645</v>
      </c>
      <c r="E5" s="33" t="n">
        <v>474.830234317724</v>
      </c>
      <c r="F5" s="34" t="n">
        <v>0.564715695815376</v>
      </c>
      <c r="G5" s="34" t="n">
        <v>0.840539413318504</v>
      </c>
      <c r="H5" s="34" t="n">
        <v>0.979702488530516</v>
      </c>
    </row>
    <row r="6" customFormat="false" ht="15" hidden="false" customHeight="false" outlineLevel="0" collapsed="false">
      <c r="A6" s="32" t="s">
        <v>178</v>
      </c>
      <c r="B6" s="32" t="n">
        <v>9</v>
      </c>
      <c r="C6" s="33" t="n">
        <v>172.613144785708</v>
      </c>
      <c r="D6" s="33" t="n">
        <v>273.906551107877</v>
      </c>
      <c r="E6" s="33" t="n">
        <v>394.556071238615</v>
      </c>
      <c r="F6" s="34" t="n">
        <v>0.648130126511887</v>
      </c>
      <c r="G6" s="34" t="n">
        <v>0.953426942861115</v>
      </c>
      <c r="H6" s="34" t="n">
        <v>1</v>
      </c>
    </row>
    <row r="7" customFormat="false" ht="15" hidden="false" customHeight="false" outlineLevel="0" collapsed="false">
      <c r="A7" s="35" t="s">
        <v>179</v>
      </c>
      <c r="B7" s="32" t="n">
        <v>6</v>
      </c>
      <c r="C7" s="33" t="n">
        <v>226.096258477325</v>
      </c>
      <c r="D7" s="33" t="n">
        <v>348.886982948888</v>
      </c>
      <c r="E7" s="33" t="n">
        <v>576.865442435618</v>
      </c>
      <c r="F7" s="34" t="n">
        <v>0.414708744612818</v>
      </c>
      <c r="G7" s="34" t="n">
        <v>0.79076880300292</v>
      </c>
      <c r="H7" s="34" t="n">
        <v>0.935214792159044</v>
      </c>
    </row>
    <row r="8" customFormat="false" ht="15" hidden="false" customHeight="false" outlineLevel="0" collapsed="false">
      <c r="A8" s="35" t="s">
        <v>180</v>
      </c>
      <c r="B8" s="32" t="n">
        <v>11</v>
      </c>
      <c r="C8" s="33" t="n">
        <v>212.093326128619</v>
      </c>
      <c r="D8" s="33" t="n">
        <v>336.186427328729</v>
      </c>
      <c r="E8" s="33" t="n">
        <v>470.352642997015</v>
      </c>
      <c r="F8" s="34" t="n">
        <v>0.471847629639928</v>
      </c>
      <c r="G8" s="34" t="n">
        <v>0.827471152509384</v>
      </c>
      <c r="H8" s="34" t="n">
        <v>0.951897678298346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.8"/>
    <col collapsed="false" customWidth="true" hidden="false" outlineLevel="0" max="2" min="2" style="0" width="9"/>
    <col collapsed="false" customWidth="true" hidden="false" outlineLevel="0" max="3" min="3" style="0" width="9.2"/>
    <col collapsed="false" customWidth="true" hidden="false" outlineLevel="0" max="4" min="4" style="0" width="16.39"/>
    <col collapsed="false" customWidth="true" hidden="false" outlineLevel="0" max="5" min="5" style="0" width="20"/>
    <col collapsed="false" customWidth="true" hidden="false" outlineLevel="0" max="6" min="6" style="0" width="21.8"/>
    <col collapsed="false" customWidth="true" hidden="false" outlineLevel="0" max="7" min="7" style="0" width="12.8"/>
    <col collapsed="false" customWidth="true" hidden="false" outlineLevel="0" max="8" min="8" style="0" width="21.8"/>
    <col collapsed="false" customWidth="true" hidden="false" outlineLevel="0" max="10" min="9" style="0" width="20"/>
  </cols>
  <sheetData>
    <row r="1" customFormat="false" ht="16.15" hidden="false" customHeight="false" outlineLevel="0" collapsed="false">
      <c r="A1" s="7" t="s">
        <v>181</v>
      </c>
    </row>
    <row r="2" customFormat="false" ht="15" hidden="false" customHeight="false" outlineLevel="0" collapsed="false">
      <c r="A2" s="8" t="s">
        <v>182</v>
      </c>
    </row>
    <row r="4" customFormat="false" ht="31.5" hidden="false" customHeight="true" outlineLevel="0" collapsed="false">
      <c r="A4" s="9" t="s">
        <v>183</v>
      </c>
      <c r="B4" s="9" t="s">
        <v>184</v>
      </c>
      <c r="C4" s="9" t="s">
        <v>185</v>
      </c>
      <c r="D4" s="9" t="s">
        <v>186</v>
      </c>
      <c r="E4" s="10" t="s">
        <v>187</v>
      </c>
      <c r="F4" s="9" t="s">
        <v>188</v>
      </c>
      <c r="G4" s="9" t="s">
        <v>189</v>
      </c>
      <c r="H4" s="9" t="s">
        <v>190</v>
      </c>
      <c r="I4" s="9" t="s">
        <v>191</v>
      </c>
      <c r="J4" s="9" t="s">
        <v>192</v>
      </c>
    </row>
    <row r="5" customFormat="false" ht="15" hidden="false" customHeight="false" outlineLevel="0" collapsed="false">
      <c r="A5" s="32" t="n">
        <v>100</v>
      </c>
      <c r="B5" s="32" t="n">
        <v>0.75</v>
      </c>
      <c r="C5" s="32" t="n">
        <v>14</v>
      </c>
      <c r="D5" s="35" t="s">
        <v>193</v>
      </c>
      <c r="E5" s="32" t="n">
        <v>0.870884928851442</v>
      </c>
      <c r="F5" s="32" t="n">
        <v>0.844834662125639</v>
      </c>
      <c r="G5" s="32" t="n">
        <v>2</v>
      </c>
      <c r="H5" s="33" t="n">
        <v>132.417378408315</v>
      </c>
      <c r="I5" s="34" t="n">
        <v>0.888641735020159</v>
      </c>
      <c r="J5" s="34" t="n">
        <v>0.997914639232587</v>
      </c>
    </row>
    <row r="6" customFormat="false" ht="15" hidden="false" customHeight="false" outlineLevel="0" collapsed="false">
      <c r="A6" s="32" t="n">
        <v>100</v>
      </c>
      <c r="B6" s="32" t="n">
        <v>1</v>
      </c>
      <c r="C6" s="32" t="n">
        <v>20</v>
      </c>
      <c r="D6" s="35" t="s">
        <v>194</v>
      </c>
      <c r="E6" s="32" t="n">
        <v>0.852861160388218</v>
      </c>
      <c r="F6" s="32" t="n">
        <v>0.863844353712214</v>
      </c>
      <c r="G6" s="32" t="n">
        <v>2</v>
      </c>
      <c r="H6" s="33" t="n">
        <v>109.072422612759</v>
      </c>
      <c r="I6" s="34" t="n">
        <v>0.961768385930766</v>
      </c>
      <c r="J6" s="34" t="n">
        <v>1</v>
      </c>
    </row>
    <row r="7" customFormat="false" ht="15" hidden="false" customHeight="false" outlineLevel="0" collapsed="false">
      <c r="A7" s="32" t="n">
        <v>100</v>
      </c>
      <c r="B7" s="32" t="n">
        <v>1.25</v>
      </c>
      <c r="C7" s="32" t="n">
        <v>22</v>
      </c>
      <c r="D7" s="35" t="s">
        <v>195</v>
      </c>
      <c r="E7" s="32" t="n">
        <v>0.835325210605911</v>
      </c>
      <c r="F7" s="32" t="n">
        <v>0.818905148372549</v>
      </c>
      <c r="G7" s="32" t="n">
        <v>2</v>
      </c>
      <c r="H7" s="33" t="n">
        <v>103.860886589011</v>
      </c>
      <c r="I7" s="34" t="n">
        <v>0.9705269011539</v>
      </c>
      <c r="J7" s="34" t="n">
        <v>1</v>
      </c>
    </row>
    <row r="8" customFormat="false" ht="15" hidden="false" customHeight="false" outlineLevel="0" collapsed="false">
      <c r="A8" s="32" t="n">
        <v>125</v>
      </c>
      <c r="B8" s="32" t="n">
        <v>0.75</v>
      </c>
      <c r="C8" s="32" t="n">
        <v>11</v>
      </c>
      <c r="D8" s="35" t="s">
        <v>196</v>
      </c>
      <c r="E8" s="32" t="n">
        <v>0.839736523312114</v>
      </c>
      <c r="F8" s="32" t="n">
        <v>0.812869205638752</v>
      </c>
      <c r="G8" s="32" t="n">
        <v>1</v>
      </c>
      <c r="H8" s="33" t="n">
        <v>136.997732770005</v>
      </c>
      <c r="I8" s="34" t="n">
        <v>0.859724732378702</v>
      </c>
      <c r="J8" s="34" t="n">
        <v>0.992909773390797</v>
      </c>
    </row>
    <row r="9" customFormat="false" ht="15" hidden="false" customHeight="false" outlineLevel="0" collapsed="false">
      <c r="A9" s="32" t="n">
        <v>125</v>
      </c>
      <c r="B9" s="32" t="n">
        <v>1</v>
      </c>
      <c r="C9" s="32" t="n">
        <v>13</v>
      </c>
      <c r="D9" s="35" t="s">
        <v>197</v>
      </c>
      <c r="E9" s="32" t="n">
        <v>0.811881829924266</v>
      </c>
      <c r="F9" s="32" t="n">
        <v>0.813120368176718</v>
      </c>
      <c r="G9" s="32" t="n">
        <v>1</v>
      </c>
      <c r="H9" s="33" t="n">
        <v>125.441752349594</v>
      </c>
      <c r="I9" s="34" t="n">
        <v>0.936883080772974</v>
      </c>
      <c r="J9" s="34" t="n">
        <v>1</v>
      </c>
    </row>
    <row r="10" customFormat="false" ht="15" hidden="false" customHeight="false" outlineLevel="0" collapsed="false">
      <c r="A10" s="32" t="n">
        <v>125</v>
      </c>
      <c r="B10" s="32" t="n">
        <v>1.25</v>
      </c>
      <c r="C10" s="32" t="n">
        <v>15</v>
      </c>
      <c r="D10" s="35" t="s">
        <v>198</v>
      </c>
      <c r="E10" s="32" t="n">
        <v>0.789029231773672</v>
      </c>
      <c r="F10" s="32" t="n">
        <v>0.799466693141626</v>
      </c>
      <c r="G10" s="32" t="n">
        <v>1</v>
      </c>
      <c r="H10" s="33" t="n">
        <v>119.385042996825</v>
      </c>
      <c r="I10" s="34" t="n">
        <v>0.949812317530933</v>
      </c>
      <c r="J10" s="34" t="n">
        <v>1</v>
      </c>
    </row>
    <row r="11" customFormat="false" ht="15" hidden="false" customHeight="false" outlineLevel="0" collapsed="false">
      <c r="A11" s="32" t="n">
        <v>150</v>
      </c>
      <c r="B11" s="32" t="n">
        <v>0.75</v>
      </c>
      <c r="C11" s="32" t="n">
        <v>9</v>
      </c>
      <c r="D11" s="35" t="s">
        <v>199</v>
      </c>
      <c r="E11" s="32" t="n">
        <v>0.805520171913331</v>
      </c>
      <c r="F11" s="32" t="n">
        <v>0.761520629708066</v>
      </c>
      <c r="G11" s="32" t="n">
        <v>1</v>
      </c>
      <c r="H11" s="33" t="n">
        <v>147.039114075366</v>
      </c>
      <c r="I11" s="34" t="n">
        <v>0.796190740998193</v>
      </c>
      <c r="J11" s="34" t="n">
        <v>0.992214653134992</v>
      </c>
    </row>
    <row r="12" customFormat="false" ht="15" hidden="false" customHeight="false" outlineLevel="0" collapsed="false">
      <c r="A12" s="32" t="n">
        <v>150</v>
      </c>
      <c r="B12" s="32" t="n">
        <v>1</v>
      </c>
      <c r="C12" s="32" t="n">
        <v>9</v>
      </c>
      <c r="D12" s="35" t="s">
        <v>200</v>
      </c>
      <c r="E12" s="32" t="n">
        <v>0.775060922715387</v>
      </c>
      <c r="F12" s="32" t="n">
        <v>0.80915994001309</v>
      </c>
      <c r="G12" s="32" t="n">
        <v>1</v>
      </c>
      <c r="H12" s="33" t="n">
        <v>146.334385865969</v>
      </c>
      <c r="I12" s="34" t="n">
        <v>0.802029751146948</v>
      </c>
      <c r="J12" s="34" t="n">
        <v>0.988878075907132</v>
      </c>
    </row>
    <row r="13" customFormat="false" ht="15" hidden="false" customHeight="false" outlineLevel="0" collapsed="false">
      <c r="A13" s="32" t="n">
        <v>150</v>
      </c>
      <c r="B13" s="32" t="n">
        <v>1.25</v>
      </c>
      <c r="C13" s="32" t="n">
        <v>12</v>
      </c>
      <c r="D13" s="35" t="s">
        <v>201</v>
      </c>
      <c r="E13" s="32" t="n">
        <v>0.74682298973488</v>
      </c>
      <c r="F13" s="32" t="n">
        <v>0.78088858857256</v>
      </c>
      <c r="G13" s="32" t="n">
        <v>1</v>
      </c>
      <c r="H13" s="33" t="n">
        <v>132.746848729758</v>
      </c>
      <c r="I13" s="34" t="n">
        <v>0.879744195745864</v>
      </c>
      <c r="J13" s="34" t="n">
        <v>0.998609759488392</v>
      </c>
    </row>
    <row r="14" customFormat="false" ht="15" hidden="false" customHeight="false" outlineLevel="0" collapsed="false">
      <c r="A14" s="32" t="n">
        <v>175</v>
      </c>
      <c r="B14" s="32" t="n">
        <v>0.75</v>
      </c>
      <c r="C14" s="32" t="n">
        <v>8</v>
      </c>
      <c r="D14" s="35" t="s">
        <v>202</v>
      </c>
      <c r="E14" s="32" t="n">
        <v>0.776982064443905</v>
      </c>
      <c r="F14" s="32" t="n">
        <v>0.758704030980474</v>
      </c>
      <c r="G14" s="32" t="n">
        <v>1</v>
      </c>
      <c r="H14" s="33" t="n">
        <v>156.181436202016</v>
      </c>
      <c r="I14" s="34" t="n">
        <v>0.756012790212707</v>
      </c>
      <c r="J14" s="34" t="n">
        <v>0.969136660642291</v>
      </c>
    </row>
    <row r="15" customFormat="false" ht="15" hidden="false" customHeight="false" outlineLevel="0" collapsed="false">
      <c r="A15" s="32" t="n">
        <v>175</v>
      </c>
      <c r="B15" s="32" t="n">
        <v>1</v>
      </c>
      <c r="C15" s="32" t="n">
        <v>9</v>
      </c>
      <c r="D15" s="35" t="s">
        <v>199</v>
      </c>
      <c r="E15" s="32" t="n">
        <v>0.742483298631255</v>
      </c>
      <c r="F15" s="32" t="n">
        <v>0.777241345640979</v>
      </c>
      <c r="G15" s="32" t="n">
        <v>1</v>
      </c>
      <c r="H15" s="33" t="n">
        <v>144.103349082279</v>
      </c>
      <c r="I15" s="34" t="n">
        <v>0.817878492979285</v>
      </c>
      <c r="J15" s="34" t="n">
        <v>0.992631725288475</v>
      </c>
    </row>
    <row r="16" customFormat="false" ht="15" hidden="false" customHeight="false" outlineLevel="0" collapsed="false">
      <c r="A16" s="32" t="n">
        <v>175</v>
      </c>
      <c r="B16" s="32" t="n">
        <v>1.25</v>
      </c>
      <c r="C16" s="32" t="n">
        <v>9</v>
      </c>
      <c r="D16" s="35" t="s">
        <v>203</v>
      </c>
      <c r="E16" s="32" t="n">
        <v>0.711224024162339</v>
      </c>
      <c r="F16" s="32" t="n">
        <v>0.806544344074909</v>
      </c>
      <c r="G16" s="32" t="n">
        <v>1</v>
      </c>
      <c r="H16" s="33" t="n">
        <v>144.806689502852</v>
      </c>
      <c r="I16" s="34" t="n">
        <v>0.814124843597943</v>
      </c>
      <c r="J16" s="34" t="n">
        <v>0.991102460725706</v>
      </c>
    </row>
    <row r="17" customFormat="false" ht="15" hidden="false" customHeight="false" outlineLevel="0" collapsed="false">
      <c r="A17" s="32" t="n">
        <v>200</v>
      </c>
      <c r="B17" s="32" t="n">
        <v>0.75</v>
      </c>
      <c r="C17" s="32" t="n">
        <v>7</v>
      </c>
      <c r="D17" s="35" t="s">
        <v>204</v>
      </c>
      <c r="E17" s="32" t="n">
        <v>0.755817012461813</v>
      </c>
      <c r="F17" s="32" t="n">
        <v>0.79567168962063</v>
      </c>
      <c r="G17" s="32" t="n">
        <v>1</v>
      </c>
      <c r="H17" s="33" t="n">
        <v>161.062437749204</v>
      </c>
      <c r="I17" s="34" t="n">
        <v>0.733490893924649</v>
      </c>
      <c r="J17" s="34" t="n">
        <v>0.98359516196302</v>
      </c>
    </row>
    <row r="18" customFormat="false" ht="15" hidden="false" customHeight="false" outlineLevel="0" collapsed="false">
      <c r="A18" s="32" t="n">
        <v>200</v>
      </c>
      <c r="B18" s="32" t="n">
        <v>1</v>
      </c>
      <c r="C18" s="32" t="n">
        <v>8</v>
      </c>
      <c r="D18" s="35" t="s">
        <v>202</v>
      </c>
      <c r="E18" s="32" t="n">
        <v>0.71277796739573</v>
      </c>
      <c r="F18" s="32" t="n">
        <v>0.734192719168551</v>
      </c>
      <c r="G18" s="32" t="n">
        <v>1</v>
      </c>
      <c r="H18" s="33" t="n">
        <v>153.099962913776</v>
      </c>
      <c r="I18" s="34" t="n">
        <v>0.767829834561379</v>
      </c>
      <c r="J18" s="34" t="n">
        <v>0.986375642986237</v>
      </c>
    </row>
    <row r="19" customFormat="false" ht="15" hidden="false" customHeight="false" outlineLevel="0" collapsed="false">
      <c r="A19" s="32" t="n">
        <v>200</v>
      </c>
      <c r="B19" s="32" t="n">
        <v>1.25</v>
      </c>
      <c r="C19" s="32" t="n">
        <v>9</v>
      </c>
      <c r="D19" s="35" t="s">
        <v>199</v>
      </c>
      <c r="E19" s="32" t="n">
        <v>0.68053590489609</v>
      </c>
      <c r="F19" s="32" t="n">
        <v>0.695754734919102</v>
      </c>
      <c r="G19" s="32" t="n">
        <v>1</v>
      </c>
      <c r="H19" s="33" t="n">
        <v>145.327381226521</v>
      </c>
      <c r="I19" s="34" t="n">
        <v>0.817600444876964</v>
      </c>
      <c r="J19" s="34" t="n">
        <v>0.992075629083832</v>
      </c>
    </row>
    <row r="20" customFormat="false" ht="15" hidden="false" customHeight="false" outlineLevel="0" collapsed="false">
      <c r="A20" s="32" t="n">
        <v>250</v>
      </c>
      <c r="B20" s="32" t="n">
        <v>0.75</v>
      </c>
      <c r="C20" s="32" t="n">
        <v>7</v>
      </c>
      <c r="D20" s="35" t="s">
        <v>205</v>
      </c>
      <c r="E20" s="32" t="n">
        <v>0.714830222558155</v>
      </c>
      <c r="F20" s="32" t="n">
        <v>0.749285302436933</v>
      </c>
      <c r="G20" s="32" t="n">
        <v>1</v>
      </c>
      <c r="H20" s="33" t="n">
        <v>160.437107295592</v>
      </c>
      <c r="I20" s="34" t="n">
        <v>0.73696649520367</v>
      </c>
      <c r="J20" s="34" t="n">
        <v>0.980258584735159</v>
      </c>
    </row>
    <row r="21" customFormat="false" ht="15" hidden="false" customHeight="false" outlineLevel="0" collapsed="false">
      <c r="A21" s="32" t="n">
        <v>250</v>
      </c>
      <c r="B21" s="32" t="n">
        <v>1</v>
      </c>
      <c r="C21" s="32" t="n">
        <v>7</v>
      </c>
      <c r="D21" s="35" t="s">
        <v>204</v>
      </c>
      <c r="E21" s="32" t="n">
        <v>0.668254441502297</v>
      </c>
      <c r="F21" s="32" t="n">
        <v>0.808954314458641</v>
      </c>
      <c r="G21" s="32" t="n">
        <v>1</v>
      </c>
      <c r="H21" s="33" t="n">
        <v>160.131607802137</v>
      </c>
      <c r="I21" s="34" t="n">
        <v>0.734881134436258</v>
      </c>
      <c r="J21" s="34" t="n">
        <v>0.985958570832754</v>
      </c>
    </row>
    <row r="22" customFormat="false" ht="15" hidden="false" customHeight="false" outlineLevel="0" collapsed="false">
      <c r="A22" s="32" t="n">
        <v>250</v>
      </c>
      <c r="B22" s="32" t="n">
        <v>1.25</v>
      </c>
      <c r="C22" s="32" t="n">
        <v>8</v>
      </c>
      <c r="D22" s="35" t="s">
        <v>202</v>
      </c>
      <c r="E22" s="32" t="n">
        <v>0.624231169698829</v>
      </c>
      <c r="F22" s="32" t="n">
        <v>0.777351974985963</v>
      </c>
      <c r="G22" s="32" t="n">
        <v>1</v>
      </c>
      <c r="H22" s="33" t="n">
        <v>152.510495444679</v>
      </c>
      <c r="I22" s="34" t="n">
        <v>0.781593215626303</v>
      </c>
      <c r="J22" s="34" t="n">
        <v>0.988878075907132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"/>
    <col collapsed="false" customWidth="true" hidden="false" outlineLevel="0" max="3" min="3" style="0" width="70"/>
  </cols>
  <sheetData>
    <row r="1" customFormat="false" ht="16.15" hidden="false" customHeight="false" outlineLevel="0" collapsed="false">
      <c r="A1" s="7" t="s">
        <v>206</v>
      </c>
    </row>
    <row r="2" customFormat="false" ht="15" hidden="false" customHeight="false" outlineLevel="0" collapsed="false">
      <c r="A2" s="8"/>
    </row>
    <row r="4" customFormat="false" ht="31.5" hidden="false" customHeight="true" outlineLevel="0" collapsed="false">
      <c r="A4" s="9" t="s">
        <v>207</v>
      </c>
      <c r="B4" s="9" t="s">
        <v>208</v>
      </c>
      <c r="C4" s="9" t="s">
        <v>209</v>
      </c>
    </row>
    <row r="5" customFormat="false" ht="15" hidden="false" customHeight="false" outlineLevel="0" collapsed="false">
      <c r="A5" s="32" t="s">
        <v>210</v>
      </c>
      <c r="B5" s="33" t="n">
        <v>7247</v>
      </c>
      <c r="C5" s="32" t="s">
        <v>211</v>
      </c>
    </row>
    <row r="6" customFormat="false" ht="15" hidden="false" customHeight="false" outlineLevel="0" collapsed="false">
      <c r="A6" s="32" t="s">
        <v>212</v>
      </c>
      <c r="B6" s="33" t="n">
        <v>1788</v>
      </c>
      <c r="C6" s="32" t="s">
        <v>213</v>
      </c>
    </row>
    <row r="7" customFormat="false" ht="15" hidden="false" customHeight="false" outlineLevel="0" collapsed="false">
      <c r="A7" s="32" t="s">
        <v>214</v>
      </c>
      <c r="B7" s="33" t="n">
        <v>-23</v>
      </c>
      <c r="C7" s="32" t="s">
        <v>215</v>
      </c>
    </row>
    <row r="8" customFormat="false" ht="15" hidden="false" customHeight="false" outlineLevel="0" collapsed="false">
      <c r="A8" s="32" t="s">
        <v>216</v>
      </c>
      <c r="B8" s="33" t="n">
        <v>1619</v>
      </c>
      <c r="C8" s="32" t="s">
        <v>217</v>
      </c>
    </row>
    <row r="9" customFormat="false" ht="15" hidden="false" customHeight="false" outlineLevel="0" collapsed="false">
      <c r="A9" s="32" t="s">
        <v>218</v>
      </c>
      <c r="B9" s="33" t="n">
        <v>199</v>
      </c>
      <c r="C9" s="32" t="s">
        <v>219</v>
      </c>
    </row>
    <row r="10" customFormat="false" ht="15" hidden="false" customHeight="false" outlineLevel="0" collapsed="false">
      <c r="A10" s="35" t="s">
        <v>220</v>
      </c>
      <c r="B10" s="33" t="n">
        <v>15</v>
      </c>
      <c r="C10" s="32" t="s">
        <v>221</v>
      </c>
    </row>
    <row r="11" customFormat="false" ht="15" hidden="false" customHeight="false" outlineLevel="0" collapsed="false">
      <c r="A11" s="32" t="s">
        <v>222</v>
      </c>
      <c r="B11" s="33" t="n">
        <v>1585</v>
      </c>
      <c r="C11" s="32" t="s">
        <v>223</v>
      </c>
    </row>
    <row r="14" customFormat="false" ht="15" hidden="false" customHeight="false" outlineLevel="0" collapsed="false">
      <c r="A14" s="6" t="s">
        <v>224</v>
      </c>
    </row>
    <row r="15" customFormat="false" ht="15" hidden="false" customHeight="false" outlineLevel="0" collapsed="false">
      <c r="A15" s="36" t="s">
        <v>225</v>
      </c>
      <c r="B15" s="36" t="s">
        <v>226</v>
      </c>
      <c r="C15" s="36" t="s">
        <v>227</v>
      </c>
    </row>
    <row r="16" customFormat="false" ht="15" hidden="false" customHeight="false" outlineLevel="0" collapsed="false">
      <c r="A16" s="37" t="s">
        <v>228</v>
      </c>
      <c r="B16" s="37" t="n">
        <v>2889</v>
      </c>
      <c r="C16" s="34" t="n">
        <v>0.401640483803698</v>
      </c>
    </row>
    <row r="17" customFormat="false" ht="15" hidden="false" customHeight="false" outlineLevel="0" collapsed="false">
      <c r="A17" s="37" t="s">
        <v>229</v>
      </c>
      <c r="B17" s="37" t="n">
        <v>2167</v>
      </c>
      <c r="C17" s="34" t="n">
        <v>0.301265118865564</v>
      </c>
    </row>
    <row r="18" customFormat="false" ht="15" hidden="false" customHeight="false" outlineLevel="0" collapsed="false">
      <c r="A18" s="37" t="s">
        <v>230</v>
      </c>
      <c r="B18" s="37" t="n">
        <v>741</v>
      </c>
      <c r="C18" s="34" t="n">
        <v>0.103016821910191</v>
      </c>
    </row>
    <row r="19" customFormat="false" ht="15" hidden="false" customHeight="false" outlineLevel="0" collapsed="false">
      <c r="A19" s="37" t="s">
        <v>231</v>
      </c>
      <c r="B19" s="37" t="n">
        <v>676</v>
      </c>
      <c r="C19" s="34" t="n">
        <v>0.0939802585847352</v>
      </c>
    </row>
    <row r="20" customFormat="false" ht="15" hidden="false" customHeight="false" outlineLevel="0" collapsed="false">
      <c r="A20" s="37" t="s">
        <v>232</v>
      </c>
      <c r="B20" s="37" t="n">
        <v>380</v>
      </c>
      <c r="C20" s="34" t="n">
        <v>0.0528291394411233</v>
      </c>
    </row>
    <row r="21" customFormat="false" ht="15" hidden="false" customHeight="false" outlineLevel="0" collapsed="false">
      <c r="A21" s="37" t="s">
        <v>233</v>
      </c>
      <c r="B21" s="37" t="n">
        <v>340</v>
      </c>
      <c r="C21" s="34" t="n">
        <v>0.0472681773946893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9"/>
    <col collapsed="false" customWidth="true" hidden="false" outlineLevel="0" max="4" min="4" style="0" width="60"/>
  </cols>
  <sheetData>
    <row r="1" customFormat="false" ht="16.15" hidden="false" customHeight="false" outlineLevel="0" collapsed="false">
      <c r="A1" s="7" t="s">
        <v>234</v>
      </c>
    </row>
    <row r="2" customFormat="false" ht="15" hidden="false" customHeight="false" outlineLevel="0" collapsed="false">
      <c r="A2" s="38" t="s">
        <v>235</v>
      </c>
    </row>
    <row r="4" customFormat="false" ht="31.5" hidden="false" customHeight="true" outlineLevel="0" collapsed="false">
      <c r="A4" s="9" t="s">
        <v>236</v>
      </c>
      <c r="B4" s="9" t="s">
        <v>237</v>
      </c>
      <c r="C4" s="9" t="s">
        <v>238</v>
      </c>
      <c r="D4" s="9" t="s">
        <v>239</v>
      </c>
    </row>
    <row r="5" customFormat="false" ht="15" hidden="false" customHeight="false" outlineLevel="0" collapsed="false">
      <c r="A5" s="35" t="s">
        <v>240</v>
      </c>
      <c r="B5" s="32" t="n">
        <v>150</v>
      </c>
      <c r="C5" s="35" t="s">
        <v>241</v>
      </c>
      <c r="D5" s="32" t="s">
        <v>242</v>
      </c>
    </row>
    <row r="6" customFormat="false" ht="15" hidden="false" customHeight="false" outlineLevel="0" collapsed="false">
      <c r="A6" s="35" t="s">
        <v>243</v>
      </c>
      <c r="B6" s="32" t="n">
        <v>75</v>
      </c>
      <c r="C6" s="35" t="s">
        <v>241</v>
      </c>
      <c r="D6" s="32" t="s">
        <v>244</v>
      </c>
    </row>
    <row r="7" customFormat="false" ht="15" hidden="false" customHeight="false" outlineLevel="0" collapsed="false">
      <c r="A7" s="35" t="s">
        <v>245</v>
      </c>
      <c r="B7" s="32" t="n">
        <v>1</v>
      </c>
      <c r="C7" s="32"/>
      <c r="D7" s="35" t="s">
        <v>246</v>
      </c>
    </row>
    <row r="8" customFormat="false" ht="15" hidden="false" customHeight="false" outlineLevel="0" collapsed="false">
      <c r="A8" s="35" t="s">
        <v>247</v>
      </c>
      <c r="B8" s="32" t="n">
        <v>20</v>
      </c>
      <c r="C8" s="32" t="s">
        <v>248</v>
      </c>
      <c r="D8" s="35" t="s">
        <v>249</v>
      </c>
    </row>
    <row r="9" customFormat="false" ht="15" hidden="false" customHeight="false" outlineLevel="0" collapsed="false">
      <c r="A9" s="35" t="s">
        <v>250</v>
      </c>
      <c r="B9" s="32" t="n">
        <v>7</v>
      </c>
      <c r="C9" s="35" t="s">
        <v>241</v>
      </c>
      <c r="D9" s="32" t="s">
        <v>251</v>
      </c>
    </row>
    <row r="10" customFormat="false" ht="15" hidden="false" customHeight="false" outlineLevel="0" collapsed="false">
      <c r="A10" s="35" t="s">
        <v>252</v>
      </c>
      <c r="B10" s="32" t="n">
        <v>200</v>
      </c>
      <c r="C10" s="35" t="s">
        <v>241</v>
      </c>
      <c r="D10" s="32" t="s">
        <v>253</v>
      </c>
    </row>
    <row r="11" customFormat="false" ht="15" hidden="false" customHeight="false" outlineLevel="0" collapsed="false">
      <c r="A11" s="35" t="s">
        <v>254</v>
      </c>
      <c r="B11" s="32" t="n">
        <v>10</v>
      </c>
      <c r="C11" s="35" t="s">
        <v>241</v>
      </c>
      <c r="D11" s="32" t="s">
        <v>255</v>
      </c>
    </row>
    <row r="12" customFormat="false" ht="15" hidden="false" customHeight="false" outlineLevel="0" collapsed="false">
      <c r="A12" s="35" t="s">
        <v>256</v>
      </c>
      <c r="B12" s="32" t="n">
        <v>60</v>
      </c>
      <c r="C12" s="35" t="s">
        <v>241</v>
      </c>
      <c r="D12" s="32" t="s">
        <v>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2026-10-20T05:32:29Z</dcterms:created>
  <dc:creator>openpyxl</dc:creator>
  <dc:description/>
  <dc:language>en-US</dc:language>
  <cp:lastModifiedBy/>
  <dcterms:modified xsi:type="dcterms:W3CDTF">2026-10-20T05:32:29Z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